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FINAL SUMMARY" sheetId="1" state="visible" r:id="rId1"/>
    <sheet name="⚠ TO PRICE" sheetId="2" state="visible" r:id="rId2"/>
    <sheet name="Sahid Ali Joddar" sheetId="3" state="visible" r:id="rId3"/>
    <sheet name="Sudipta Bisai" sheetId="4" state="visible" r:id="rId4"/>
    <sheet name="Sahinara Begam" sheetId="5" state="visible" r:id="rId5"/>
    <sheet name="Chintapalli Vishal" sheetId="6" state="visible" r:id="rId6"/>
    <sheet name="Babita Barman" sheetId="7" state="visible" r:id="rId7"/>
    <sheet name="Souren Banerjee" sheetId="8" state="visible" r:id="rId8"/>
    <sheet name="Mona Chakraborty" sheetId="9" state="visible" r:id="rId9"/>
    <sheet name="Mohammedal Hasina" sheetId="10" state="visible" r:id="rId10"/>
    <sheet name="Sahinara Begam-2" sheetId="11" state="visible" r:id="rId11"/>
    <sheet name="Asish Chaudhary" sheetId="12" state="visible" r:id="rId12"/>
    <sheet name="Rahul Das" sheetId="13" state="visible" r:id="rId13"/>
    <sheet name="Siuli Biswas" sheetId="14" state="visible" r:id="rId14"/>
    <sheet name="Pt Gupta Sin" sheetId="15" state="visible" r:id="rId15"/>
    <sheet name="Ishita Peri" sheetId="16" state="visible" r:id="rId16"/>
    <sheet name="Suhana Khatun" sheetId="17" state="visible" r:id="rId17"/>
    <sheet name="Mou Das" sheetId="18" state="visible" r:id="rId18"/>
    <sheet name="Suvarna Mondal" sheetId="19" state="visible" r:id="rId19"/>
    <sheet name="Payel Das" sheetId="20" state="visible" r:id="rId20"/>
    <sheet name="Mainuddin Molla" sheetId="21" state="visible" r:id="rId21"/>
    <sheet name="Shankar Mallick" sheetId="22" state="visible" r:id="rId22"/>
    <sheet name="Rabia Bibi" sheetId="23" state="visible" r:id="rId23"/>
    <sheet name="Sayantan Mondal" sheetId="24" state="visible" r:id="rId24"/>
    <sheet name="Rupali Khatun" sheetId="25" state="visible" r:id="rId25"/>
    <sheet name="Raejul Islam" sheetId="26" state="visible" r:id="rId26"/>
    <sheet name="Sohallam Molla" sheetId="27" state="visible" r:id="rId27"/>
    <sheet name="Varsha Pradhan" sheetId="28" state="visible" r:id="rId28"/>
    <sheet name="Sagar Gupta" sheetId="29" state="visible" r:id="rId29"/>
    <sheet name="Sapna" sheetId="30" state="visible" r:id="rId30"/>
    <sheet name="Dola Roy Gupta (Jun 27)" sheetId="31" state="visible" r:id="rId31"/>
    <sheet name="Anita Tamang" sheetId="32" state="visible" r:id="rId32"/>
    <sheet name="Shankari — Ward Follow-up" sheetId="33" state="visible" r:id="rId33"/>
    <sheet name="Raju Mondal" sheetId="34" state="visible" r:id="rId34"/>
    <sheet name="Parul Bala Mondal" sheetId="35" state="visible" r:id="rId35"/>
    <sheet name="Dola Roy (Jul 12)" sheetId="36" state="visible" r:id="rId36"/>
    <sheet name="Basudeb Roy" sheetId="37" state="visible" r:id="rId37"/>
    <sheet name="Chiradeep Chokrobarty" sheetId="38" state="visible" r:id="rId38"/>
    <sheet name="Adigai G" sheetId="39" state="visible" r:id="rId39"/>
    <sheet name="Komal Saraogi" sheetId="40" state="visible" r:id="rId40"/>
    <sheet name="Seema Mondal" sheetId="41" state="visible" r:id="rId41"/>
    <sheet name="Ripu Sundar Sarkar" sheetId="42" state="visible" r:id="rId42"/>
    <sheet name="Prabir Kumar Paul" sheetId="43" state="visible" r:id="rId43"/>
    <sheet name="Sopna" sheetId="44" state="visible" r:id="rId44"/>
    <sheet name="MADANMOHAN BHOWMIK" sheetId="45" state="visible" r:id="rId4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i val="1"/>
      <sz val="8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color rgb="FF000000"/>
      <sz val="9"/>
    </font>
    <font>
      <name val="Arial"/>
      <charset val="1"/>
      <family val="2"/>
      <color rgb="FF000000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color rgb="FFFFFFFF"/>
      <sz val="8"/>
    </font>
    <font>
      <name val="Arial"/>
      <charset val="1"/>
      <family val="2"/>
      <color rgb="FFB71C1C"/>
      <sz val="9"/>
    </font>
    <font>
      <name val="Arial"/>
      <charset val="1"/>
      <family val="2"/>
      <b val="1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DDDDDD"/>
      <sz val="8"/>
    </font>
    <font>
      <name val="Arial"/>
      <charset val="1"/>
      <family val="2"/>
      <i val="1"/>
      <color rgb="FF555555"/>
      <sz val="8"/>
    </font>
    <font>
      <name val="Arial"/>
      <charset val="1"/>
      <family val="2"/>
      <color rgb="FFB71C1C"/>
      <sz val="8"/>
    </font>
    <font>
      <name val="Arial"/>
      <charset val="1"/>
      <family val="2"/>
      <color rgb="FF7B480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10"/>
    </font>
  </fonts>
  <fills count="25">
    <fill>
      <patternFill/>
    </fill>
    <fill>
      <patternFill patternType="gray125"/>
    </fill>
    <fill>
      <patternFill patternType="solid">
        <fgColor rgb="FF1F4E78"/>
        <bgColor rgb="FF0E5E5E"/>
      </patternFill>
    </fill>
    <fill>
      <patternFill patternType="solid">
        <fgColor rgb="FF404040"/>
        <bgColor rgb="FF2E4053"/>
      </patternFill>
    </fill>
    <fill>
      <patternFill patternType="solid">
        <fgColor rgb="FFFFE699"/>
        <bgColor rgb="FFFFF3CD"/>
      </patternFill>
    </fill>
    <fill>
      <patternFill patternType="solid">
        <fgColor rgb="FF0D2340"/>
        <bgColor rgb="FF1F3864"/>
      </patternFill>
    </fill>
    <fill>
      <patternFill patternType="solid">
        <fgColor rgb="FFD9E2F3"/>
        <bgColor rgb="FFD9E1F2"/>
      </patternFill>
    </fill>
    <fill>
      <patternFill patternType="solid">
        <fgColor rgb="FF1F3864"/>
        <bgColor rgb="FF2E4053"/>
      </patternFill>
    </fill>
    <fill>
      <patternFill patternType="solid">
        <fgColor rgb="FF2E4053"/>
        <bgColor rgb="FF404040"/>
      </patternFill>
    </fill>
    <fill>
      <patternFill patternType="solid">
        <fgColor rgb="FFFFFFFF"/>
        <bgColor rgb="FFF7F9FF"/>
      </patternFill>
    </fill>
    <fill>
      <patternFill patternType="solid">
        <fgColor rgb="FFF7F9FF"/>
        <bgColor rgb="FFFFFFFF"/>
      </patternFill>
    </fill>
    <fill>
      <patternFill patternType="solid">
        <fgColor rgb="FFFFEBEE"/>
        <bgColor rgb="FFF3E5F5"/>
      </patternFill>
    </fill>
    <fill>
      <patternFill patternType="solid">
        <fgColor rgb="FF92D050"/>
        <bgColor rgb="FFBFBFBF"/>
      </patternFill>
    </fill>
    <fill>
      <patternFill patternType="solid">
        <fgColor rgb="FFD9E8F5"/>
        <bgColor rgb="FFD9E2F3"/>
      </patternFill>
    </fill>
    <fill>
      <patternFill patternType="solid">
        <fgColor rgb="FF0E5E5E"/>
        <bgColor rgb="FF1F4E78"/>
      </patternFill>
    </fill>
    <fill>
      <patternFill patternType="solid">
        <fgColor rgb="FFE8F5E9"/>
        <bgColor rgb="FFF7F9FF"/>
      </patternFill>
    </fill>
    <fill>
      <patternFill patternType="solid">
        <fgColor rgb="FF5D3F6A"/>
        <bgColor rgb="FF555555"/>
      </patternFill>
    </fill>
    <fill>
      <patternFill patternType="solid">
        <fgColor rgb="FFF3E5F5"/>
        <bgColor rgb="FFFFEBEE"/>
      </patternFill>
    </fill>
    <fill>
      <patternFill patternType="solid">
        <fgColor rgb="FFFFFDE7"/>
        <bgColor rgb="FFFFF8E1"/>
      </patternFill>
    </fill>
    <fill>
      <patternFill patternType="solid">
        <fgColor rgb="FFFFF3CD"/>
        <bgColor rgb="FFFFF8E1"/>
      </patternFill>
    </fill>
    <fill>
      <patternFill patternType="solid">
        <fgColor rgb="FFFFF8E1"/>
        <bgColor rgb="FFFFFDE7"/>
      </patternFill>
    </fill>
    <fill>
      <patternFill patternType="solid">
        <fgColor rgb="FF2E75B6"/>
        <bgColor rgb="FF008080"/>
      </patternFill>
    </fill>
    <fill>
      <patternFill patternType="solid">
        <fgColor rgb="FFF8CBAD"/>
        <bgColor rgb="FFFFE699"/>
      </patternFill>
    </fill>
    <fill>
      <patternFill patternType="solid">
        <fgColor rgb="FFD9E1F2"/>
        <bgColor rgb="FFD9E2F3"/>
      </patternFill>
    </fill>
    <fill>
      <patternFill patternType="solid">
        <fgColor rgb="FFFCE4D6"/>
        <bgColor rgb="FFFFEBEE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medium">
        <color rgb="FF888888"/>
      </left>
      <right/>
      <top style="medium">
        <color rgb="FF888888"/>
      </top>
      <bottom style="medium">
        <color rgb="FF888888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medium">
        <color rgb="FF888888"/>
      </top>
      <bottom/>
      <diagonal/>
    </border>
    <border>
      <left/>
      <right/>
      <top style="medium">
        <color rgb="FF888888"/>
      </top>
      <bottom style="medium">
        <color rgb="FF88888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4" fontId="7" fillId="0" borderId="1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4" fontId="8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bottom" wrapText="1"/>
    </xf>
    <xf numFmtId="0" fontId="7" fillId="4" borderId="1" applyAlignment="1" pivotButton="0" quotePrefix="0" xfId="0">
      <alignment horizontal="general" vertical="bottom"/>
    </xf>
    <xf numFmtId="0" fontId="9" fillId="5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left" vertical="center"/>
    </xf>
    <xf numFmtId="0" fontId="13" fillId="8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center" vertical="center"/>
    </xf>
    <xf numFmtId="0" fontId="11" fillId="9" borderId="2" applyAlignment="1" pivotButton="0" quotePrefix="0" xfId="0">
      <alignment horizontal="left" vertical="center" wrapText="1"/>
    </xf>
    <xf numFmtId="4" fontId="11" fillId="9" borderId="2" applyAlignment="1" pivotButton="0" quotePrefix="0" xfId="0">
      <alignment horizontal="right" vertical="center"/>
    </xf>
    <xf numFmtId="0" fontId="11" fillId="10" borderId="2" applyAlignment="1" pivotButton="0" quotePrefix="0" xfId="0">
      <alignment horizontal="center" vertical="center"/>
    </xf>
    <xf numFmtId="0" fontId="11" fillId="10" borderId="2" applyAlignment="1" pivotButton="0" quotePrefix="0" xfId="0">
      <alignment horizontal="left" vertical="center" wrapText="1"/>
    </xf>
    <xf numFmtId="4" fontId="11" fillId="10" borderId="2" applyAlignment="1" pivotButton="0" quotePrefix="0" xfId="0">
      <alignment horizontal="right" vertical="center"/>
    </xf>
    <xf numFmtId="0" fontId="14" fillId="11" borderId="2" applyAlignment="1" pivotButton="0" quotePrefix="0" xfId="0">
      <alignment horizontal="center" vertical="center"/>
    </xf>
    <xf numFmtId="0" fontId="14" fillId="11" borderId="2" applyAlignment="1" pivotButton="0" quotePrefix="0" xfId="0">
      <alignment horizontal="left" vertical="center" wrapText="1"/>
    </xf>
    <xf numFmtId="0" fontId="14" fillId="11" borderId="2" applyAlignment="1" pivotButton="0" quotePrefix="0" xfId="0">
      <alignment horizontal="right" vertical="center"/>
    </xf>
    <xf numFmtId="0" fontId="11" fillId="12" borderId="2" applyAlignment="1" pivotButton="0" quotePrefix="0" xfId="0">
      <alignment horizontal="left" vertical="center" wrapText="1"/>
    </xf>
    <xf numFmtId="0" fontId="11" fillId="10" borderId="3" applyAlignment="1" pivotButton="0" quotePrefix="0" xfId="0">
      <alignment horizontal="center" vertical="center"/>
    </xf>
    <xf numFmtId="0" fontId="11" fillId="10" borderId="3" applyAlignment="1" pivotButton="0" quotePrefix="0" xfId="0">
      <alignment horizontal="left" vertical="center" wrapText="1"/>
    </xf>
    <xf numFmtId="4" fontId="11" fillId="10" borderId="3" applyAlignment="1" pivotButton="0" quotePrefix="0" xfId="0">
      <alignment horizontal="right" vertical="center"/>
    </xf>
    <xf numFmtId="0" fontId="15" fillId="13" borderId="3" applyAlignment="1" pivotButton="0" quotePrefix="0" xfId="0">
      <alignment horizontal="right" vertical="center"/>
    </xf>
    <xf numFmtId="4" fontId="15" fillId="13" borderId="2" applyAlignment="1" pivotButton="0" quotePrefix="0" xfId="0">
      <alignment horizontal="right" vertical="center"/>
    </xf>
    <xf numFmtId="0" fontId="0" fillId="13" borderId="2" applyAlignment="1" pivotButton="0" quotePrefix="0" xfId="0">
      <alignment horizontal="general" vertical="bottom"/>
    </xf>
    <xf numFmtId="0" fontId="12" fillId="14" borderId="0" applyAlignment="1" pivotButton="0" quotePrefix="0" xfId="0">
      <alignment horizontal="left" vertical="center"/>
    </xf>
    <xf numFmtId="0" fontId="11" fillId="15" borderId="2" applyAlignment="1" pivotButton="0" quotePrefix="0" xfId="0">
      <alignment horizontal="center" vertical="center"/>
    </xf>
    <xf numFmtId="0" fontId="11" fillId="15" borderId="2" applyAlignment="1" pivotButton="0" quotePrefix="0" xfId="0">
      <alignment horizontal="left" vertical="center"/>
    </xf>
    <xf numFmtId="4" fontId="11" fillId="15" borderId="2" applyAlignment="1" pivotButton="0" quotePrefix="0" xfId="0">
      <alignment horizontal="right" vertical="center"/>
    </xf>
    <xf numFmtId="0" fontId="11" fillId="15" borderId="2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/>
    </xf>
    <xf numFmtId="0" fontId="11" fillId="17" borderId="2" applyAlignment="1" pivotButton="0" quotePrefix="0" xfId="0">
      <alignment horizontal="center" vertical="center"/>
    </xf>
    <xf numFmtId="0" fontId="11" fillId="17" borderId="2" applyAlignment="1" pivotButton="0" quotePrefix="0" xfId="0">
      <alignment horizontal="left" vertical="center"/>
    </xf>
    <xf numFmtId="4" fontId="11" fillId="17" borderId="2" applyAlignment="1" pivotButton="0" quotePrefix="0" xfId="0">
      <alignment horizontal="right" vertical="center"/>
    </xf>
    <xf numFmtId="0" fontId="11" fillId="17" borderId="2" applyAlignment="1" pivotButton="0" quotePrefix="0" xfId="0">
      <alignment horizontal="left" vertical="center" wrapText="1"/>
    </xf>
    <xf numFmtId="0" fontId="16" fillId="5" borderId="4" applyAlignment="1" pivotButton="0" quotePrefix="0" xfId="0">
      <alignment horizontal="right" vertical="center"/>
    </xf>
    <xf numFmtId="4" fontId="9" fillId="5" borderId="5" applyAlignment="1" pivotButton="0" quotePrefix="0" xfId="0">
      <alignment horizontal="right" vertical="center"/>
    </xf>
    <xf numFmtId="0" fontId="17" fillId="5" borderId="4" applyAlignment="1" pivotButton="0" quotePrefix="0" xfId="0">
      <alignment horizontal="center" vertical="center"/>
    </xf>
    <xf numFmtId="0" fontId="0" fillId="5" borderId="5" applyAlignment="1" pivotButton="0" quotePrefix="0" xfId="0">
      <alignment horizontal="general" vertical="bottom"/>
    </xf>
    <xf numFmtId="0" fontId="18" fillId="18" borderId="0" applyAlignment="1" pivotButton="0" quotePrefix="0" xfId="0">
      <alignment horizontal="left" vertical="center" wrapText="1"/>
    </xf>
    <xf numFmtId="0" fontId="19" fillId="11" borderId="0" applyAlignment="1" pivotButton="0" quotePrefix="0" xfId="0">
      <alignment horizontal="left" vertical="center" wrapText="1"/>
    </xf>
    <xf numFmtId="0" fontId="20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left" vertical="center" wrapText="1"/>
    </xf>
    <xf numFmtId="4" fontId="20" fillId="19" borderId="2" applyAlignment="1" pivotButton="0" quotePrefix="0" xfId="0">
      <alignment horizontal="right" vertical="center"/>
    </xf>
    <xf numFmtId="0" fontId="20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left" vertical="center" wrapText="1"/>
    </xf>
    <xf numFmtId="4" fontId="20" fillId="20" borderId="2" applyAlignment="1" pivotButton="0" quotePrefix="0" xfId="0">
      <alignment horizontal="right" vertical="center"/>
    </xf>
    <xf numFmtId="0" fontId="21" fillId="0" borderId="0" applyAlignment="1" pivotButton="0" quotePrefix="0" xfId="0">
      <alignment horizontal="general" vertical="bottom"/>
    </xf>
    <xf numFmtId="0" fontId="22" fillId="21" borderId="0" applyAlignment="1" pivotButton="0" quotePrefix="0" xfId="0">
      <alignment horizontal="general" vertical="bottom"/>
    </xf>
    <xf numFmtId="0" fontId="7" fillId="22" borderId="1" applyAlignment="1" pivotButton="0" quotePrefix="0" xfId="0">
      <alignment horizontal="general" vertical="bottom"/>
    </xf>
    <xf numFmtId="0" fontId="21" fillId="23" borderId="0" applyAlignment="1" pivotButton="0" quotePrefix="0" xfId="0">
      <alignment horizontal="general" vertical="bottom"/>
    </xf>
    <xf numFmtId="4" fontId="21" fillId="23" borderId="0" applyAlignment="1" pivotButton="0" quotePrefix="0" xfId="0">
      <alignment horizontal="general" vertical="bottom"/>
    </xf>
    <xf numFmtId="0" fontId="0" fillId="2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7" fillId="24" borderId="1" applyAlignment="1" pivotButton="0" quotePrefix="0" xfId="0">
      <alignment horizontal="general" vertical="bottom"/>
    </xf>
    <xf numFmtId="4" fontId="7" fillId="24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4" fontId="7" fillId="0" borderId="1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4" fontId="8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bottom" wrapText="1"/>
    </xf>
    <xf numFmtId="0" fontId="7" fillId="4" borderId="1" applyAlignment="1" pivotButton="0" quotePrefix="0" xfId="0">
      <alignment horizontal="general" vertical="bottom"/>
    </xf>
    <xf numFmtId="0" fontId="9" fillId="5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left" vertical="center"/>
    </xf>
    <xf numFmtId="0" fontId="13" fillId="8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center" vertical="center"/>
    </xf>
    <xf numFmtId="0" fontId="11" fillId="9" borderId="2" applyAlignment="1" pivotButton="0" quotePrefix="0" xfId="0">
      <alignment horizontal="left" vertical="center" wrapText="1"/>
    </xf>
    <xf numFmtId="4" fontId="11" fillId="9" borderId="2" applyAlignment="1" pivotButton="0" quotePrefix="0" xfId="0">
      <alignment horizontal="right" vertical="center"/>
    </xf>
    <xf numFmtId="0" fontId="11" fillId="10" borderId="2" applyAlignment="1" pivotButton="0" quotePrefix="0" xfId="0">
      <alignment horizontal="center" vertical="center"/>
    </xf>
    <xf numFmtId="0" fontId="11" fillId="10" borderId="2" applyAlignment="1" pivotButton="0" quotePrefix="0" xfId="0">
      <alignment horizontal="left" vertical="center" wrapText="1"/>
    </xf>
    <xf numFmtId="4" fontId="11" fillId="10" borderId="2" applyAlignment="1" pivotButton="0" quotePrefix="0" xfId="0">
      <alignment horizontal="right" vertical="center"/>
    </xf>
    <xf numFmtId="0" fontId="14" fillId="11" borderId="2" applyAlignment="1" pivotButton="0" quotePrefix="0" xfId="0">
      <alignment horizontal="center" vertical="center"/>
    </xf>
    <xf numFmtId="0" fontId="14" fillId="11" borderId="2" applyAlignment="1" pivotButton="0" quotePrefix="0" xfId="0">
      <alignment horizontal="left" vertical="center" wrapText="1"/>
    </xf>
    <xf numFmtId="0" fontId="14" fillId="11" borderId="2" applyAlignment="1" pivotButton="0" quotePrefix="0" xfId="0">
      <alignment horizontal="right" vertical="center"/>
    </xf>
    <xf numFmtId="0" fontId="11" fillId="12" borderId="2" applyAlignment="1" pivotButton="0" quotePrefix="0" xfId="0">
      <alignment horizontal="left" vertical="center" wrapText="1"/>
    </xf>
    <xf numFmtId="0" fontId="11" fillId="10" borderId="3" applyAlignment="1" pivotButton="0" quotePrefix="0" xfId="0">
      <alignment horizontal="center" vertical="center"/>
    </xf>
    <xf numFmtId="0" fontId="11" fillId="10" borderId="3" applyAlignment="1" pivotButton="0" quotePrefix="0" xfId="0">
      <alignment horizontal="left" vertical="center" wrapText="1"/>
    </xf>
    <xf numFmtId="4" fontId="11" fillId="10" borderId="3" applyAlignment="1" pivotButton="0" quotePrefix="0" xfId="0">
      <alignment horizontal="right" vertical="center"/>
    </xf>
    <xf numFmtId="0" fontId="15" fillId="13" borderId="3" applyAlignment="1" pivotButton="0" quotePrefix="0" xfId="0">
      <alignment horizontal="right" vertical="center"/>
    </xf>
    <xf numFmtId="0" fontId="0" fillId="0" borderId="7" pivotButton="0" quotePrefix="0" xfId="0"/>
    <xf numFmtId="4" fontId="15" fillId="13" borderId="2" applyAlignment="1" pivotButton="0" quotePrefix="0" xfId="0">
      <alignment horizontal="right" vertical="center"/>
    </xf>
    <xf numFmtId="0" fontId="0" fillId="13" borderId="2" applyAlignment="1" pivotButton="0" quotePrefix="0" xfId="0">
      <alignment horizontal="general" vertical="bottom"/>
    </xf>
    <xf numFmtId="0" fontId="12" fillId="14" borderId="0" applyAlignment="1" pivotButton="0" quotePrefix="0" xfId="0">
      <alignment horizontal="left" vertical="center"/>
    </xf>
    <xf numFmtId="0" fontId="11" fillId="15" borderId="2" applyAlignment="1" pivotButton="0" quotePrefix="0" xfId="0">
      <alignment horizontal="center" vertical="center"/>
    </xf>
    <xf numFmtId="0" fontId="11" fillId="15" borderId="2" applyAlignment="1" pivotButton="0" quotePrefix="0" xfId="0">
      <alignment horizontal="left" vertical="center"/>
    </xf>
    <xf numFmtId="4" fontId="11" fillId="15" borderId="2" applyAlignment="1" pivotButton="0" quotePrefix="0" xfId="0">
      <alignment horizontal="right" vertical="center"/>
    </xf>
    <xf numFmtId="0" fontId="11" fillId="15" borderId="2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/>
    </xf>
    <xf numFmtId="0" fontId="11" fillId="17" borderId="2" applyAlignment="1" pivotButton="0" quotePrefix="0" xfId="0">
      <alignment horizontal="center" vertical="center"/>
    </xf>
    <xf numFmtId="0" fontId="11" fillId="17" borderId="2" applyAlignment="1" pivotButton="0" quotePrefix="0" xfId="0">
      <alignment horizontal="left" vertical="center"/>
    </xf>
    <xf numFmtId="4" fontId="11" fillId="17" borderId="2" applyAlignment="1" pivotButton="0" quotePrefix="0" xfId="0">
      <alignment horizontal="right" vertical="center"/>
    </xf>
    <xf numFmtId="0" fontId="11" fillId="17" borderId="2" applyAlignment="1" pivotButton="0" quotePrefix="0" xfId="0">
      <alignment horizontal="left" vertical="center" wrapText="1"/>
    </xf>
    <xf numFmtId="0" fontId="16" fillId="5" borderId="4" applyAlignment="1" pivotButton="0" quotePrefix="0" xfId="0">
      <alignment horizontal="right" vertical="center"/>
    </xf>
    <xf numFmtId="0" fontId="0" fillId="0" borderId="9" pivotButton="0" quotePrefix="0" xfId="0"/>
    <xf numFmtId="4" fontId="9" fillId="5" borderId="5" applyAlignment="1" pivotButton="0" quotePrefix="0" xfId="0">
      <alignment horizontal="right" vertical="center"/>
    </xf>
    <xf numFmtId="0" fontId="17" fillId="5" borderId="4" applyAlignment="1" pivotButton="0" quotePrefix="0" xfId="0">
      <alignment horizontal="center" vertical="center"/>
    </xf>
    <xf numFmtId="0" fontId="0" fillId="5" borderId="5" applyAlignment="1" pivotButton="0" quotePrefix="0" xfId="0">
      <alignment horizontal="general" vertical="bottom"/>
    </xf>
    <xf numFmtId="0" fontId="18" fillId="18" borderId="0" applyAlignment="1" pivotButton="0" quotePrefix="0" xfId="0">
      <alignment horizontal="left" vertical="center" wrapText="1"/>
    </xf>
    <xf numFmtId="0" fontId="19" fillId="11" borderId="0" applyAlignment="1" pivotButton="0" quotePrefix="0" xfId="0">
      <alignment horizontal="left" vertical="center" wrapText="1"/>
    </xf>
    <xf numFmtId="0" fontId="20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left" vertical="center" wrapText="1"/>
    </xf>
    <xf numFmtId="4" fontId="20" fillId="19" borderId="2" applyAlignment="1" pivotButton="0" quotePrefix="0" xfId="0">
      <alignment horizontal="right" vertical="center"/>
    </xf>
    <xf numFmtId="0" fontId="20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left" vertical="center" wrapText="1"/>
    </xf>
    <xf numFmtId="4" fontId="20" fillId="20" borderId="2" applyAlignment="1" pivotButton="0" quotePrefix="0" xfId="0">
      <alignment horizontal="right" vertical="center"/>
    </xf>
    <xf numFmtId="0" fontId="21" fillId="0" borderId="0" applyAlignment="1" pivotButton="0" quotePrefix="0" xfId="0">
      <alignment horizontal="general" vertical="bottom"/>
    </xf>
    <xf numFmtId="0" fontId="22" fillId="21" borderId="0" applyAlignment="1" pivotButton="0" quotePrefix="0" xfId="0">
      <alignment horizontal="general" vertical="bottom"/>
    </xf>
    <xf numFmtId="0" fontId="7" fillId="22" borderId="1" applyAlignment="1" pivotButton="0" quotePrefix="0" xfId="0">
      <alignment horizontal="general" vertical="bottom"/>
    </xf>
    <xf numFmtId="0" fontId="21" fillId="23" borderId="0" applyAlignment="1" pivotButton="0" quotePrefix="0" xfId="0">
      <alignment horizontal="general" vertical="bottom"/>
    </xf>
    <xf numFmtId="4" fontId="21" fillId="23" borderId="0" applyAlignment="1" pivotButton="0" quotePrefix="0" xfId="0">
      <alignment horizontal="general" vertical="bottom"/>
    </xf>
    <xf numFmtId="0" fontId="0" fillId="23" borderId="0" applyAlignment="1" pivotButton="0" quotePrefix="0" xfId="0">
      <alignment horizontal="general" vertical="bottom"/>
    </xf>
    <xf numFmtId="0" fontId="7" fillId="24" borderId="1" applyAlignment="1" pivotButton="0" quotePrefix="0" xfId="0">
      <alignment horizontal="general" vertical="bottom"/>
    </xf>
    <xf numFmtId="4" fontId="7" fillId="24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3CD"/>
      <rgbColor rgb="FFFF00FF"/>
      <rgbColor rgb="FF00FFFF"/>
      <rgbColor rgb="FF800000"/>
      <rgbColor rgb="FF008000"/>
      <rgbColor rgb="FF000080"/>
      <rgbColor rgb="FF808000"/>
      <rgbColor rgb="FF800080"/>
      <rgbColor rgb="FF0E5E5E"/>
      <rgbColor rgb="FFBFBFBF"/>
      <rgbColor rgb="FF888888"/>
      <rgbColor rgb="FFF3E5F5"/>
      <rgbColor rgb="FF5D3F6A"/>
      <rgbColor rgb="FFFFF8E1"/>
      <rgbColor rgb="FFE8F5E9"/>
      <rgbColor rgb="FF660066"/>
      <rgbColor rgb="FFFF8080"/>
      <rgbColor rgb="FF1F4E78"/>
      <rgbColor rgb="FFCCCCCC"/>
      <rgbColor rgb="FF000080"/>
      <rgbColor rgb="FFFF00FF"/>
      <rgbColor rgb="FFFFFDE7"/>
      <rgbColor rgb="FF00FFFF"/>
      <rgbColor rgb="FF800080"/>
      <rgbColor rgb="FF800000"/>
      <rgbColor rgb="FF008080"/>
      <rgbColor rgb="FF0000FF"/>
      <rgbColor rgb="FF00CCFF"/>
      <rgbColor rgb="FFD9E8F5"/>
      <rgbColor rgb="FFD9E2F3"/>
      <rgbColor rgb="FFFFE699"/>
      <rgbColor rgb="FFD9E1F2"/>
      <rgbColor rgb="FFFCE4D6"/>
      <rgbColor rgb="FFDDDDDD"/>
      <rgbColor rgb="FFF8CBAD"/>
      <rgbColor rgb="FF2E75B6"/>
      <rgbColor rgb="FF33CCCC"/>
      <rgbColor rgb="FF92D050"/>
      <rgbColor rgb="FFFFEBEE"/>
      <rgbColor rgb="FFFF9900"/>
      <rgbColor rgb="FFFF6600"/>
      <rgbColor rgb="FF555555"/>
      <rgbColor rgb="FFF7F9FF"/>
      <rgbColor rgb="FF1F3864"/>
      <rgbColor rgb="FF339966"/>
      <rgbColor rgb="FF0D2340"/>
      <rgbColor rgb="FF333300"/>
      <rgbColor rgb="FF7B4800"/>
      <rgbColor rgb="FFB71C1C"/>
      <rgbColor rgb="FF2E4053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styles" Target="styles.xml" Id="rId46" /><Relationship Type="http://schemas.openxmlformats.org/officeDocument/2006/relationships/theme" Target="theme/theme1.xml" Id="rId4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65" min="1" max="1"/>
    <col width="26" customWidth="1" style="65" min="2" max="2"/>
    <col width="13" customWidth="1" style="65" min="3" max="3"/>
    <col width="20" customWidth="1" style="65" min="4" max="4"/>
    <col width="15" customWidth="1" style="65" min="5" max="5"/>
    <col width="11" customWidth="1" style="65" min="6" max="7"/>
    <col width="13" customWidth="1" style="65" min="8" max="10"/>
    <col width="7" customWidth="1" style="65" min="11" max="11"/>
    <col width="8" customWidth="1" style="65" min="12" max="12"/>
  </cols>
  <sheetData>
    <row r="1" ht="15" customHeight="1" s="66">
      <c r="A1" s="67" t="inlineStr">
        <is>
          <t>BK ADITYA MULTISPECIALTY HOSPITAL — CONSOLIDATED PATIENT BILLING SUMMARY</t>
        </is>
      </c>
    </row>
    <row r="2" ht="15" customHeight="1" s="66">
      <c r="A2" s="68" t="inlineStr">
        <is>
          <t>Consumables billed @ MRP (highest-on-record from purchase master). File 2 re-priced from master; File 1 as originally billed. ⚠ = price to enter manually.</t>
        </is>
      </c>
    </row>
    <row r="3" ht="22.35" customHeight="1" s="66">
      <c r="A3" s="69" t="inlineStr">
        <is>
          <t>Sl</t>
        </is>
      </c>
      <c r="B3" s="69" t="inlineStr">
        <is>
          <t>Patient Name</t>
        </is>
      </c>
      <c r="C3" s="69" t="inlineStr">
        <is>
          <t>Date</t>
        </is>
      </c>
      <c r="D3" s="69" t="inlineStr">
        <is>
          <t>Type</t>
        </is>
      </c>
      <c r="E3" s="69" t="inlineStr">
        <is>
          <t>A. Consumables
(₹ MRP)</t>
        </is>
      </c>
      <c r="F3" s="69" t="inlineStr">
        <is>
          <t>B. Bed
(₹)</t>
        </is>
      </c>
      <c r="G3" s="69" t="inlineStr">
        <is>
          <t>C. OT
(₹)</t>
        </is>
      </c>
      <c r="H3" s="69" t="inlineStr">
        <is>
          <t>Grand Bill
(₹)</t>
        </is>
      </c>
      <c r="I3" s="69" t="inlineStr">
        <is>
          <t>Total Cost
(₹)</t>
        </is>
      </c>
      <c r="J3" s="69" t="inlineStr">
        <is>
          <t>Margin
(₹)</t>
        </is>
      </c>
      <c r="K3" s="69" t="inlineStr">
        <is>
          <t>Est.
Items</t>
        </is>
      </c>
      <c r="L3" s="69" t="inlineStr">
        <is>
          <t>Missing
Items</t>
        </is>
      </c>
    </row>
    <row r="4" ht="15" customHeight="1" s="66">
      <c r="A4" s="70" t="n">
        <v>1</v>
      </c>
      <c r="B4" s="70" t="inlineStr">
        <is>
          <t>Sahid Ali Joddar</t>
        </is>
      </c>
      <c r="C4" s="70" t="inlineStr">
        <is>
          <t>17/04/2026</t>
        </is>
      </c>
      <c r="D4" s="70" t="inlineStr">
        <is>
          <t>Ward</t>
        </is>
      </c>
      <c r="E4" s="71">
        <f>'Sahid Ali Joddar'!G30</f>
        <v/>
      </c>
      <c r="F4" s="71">
        <f>'Sahid Ali Joddar'!G33</f>
        <v/>
      </c>
      <c r="G4" s="71">
        <f>'Sahid Ali Joddar'!G36</f>
        <v/>
      </c>
      <c r="H4" s="71">
        <f>E4+F4+G4</f>
        <v/>
      </c>
      <c r="I4" s="71">
        <f>'Sahid Ali Joddar'!I30</f>
        <v/>
      </c>
      <c r="J4" s="71">
        <f>H4-I4</f>
        <v/>
      </c>
      <c r="K4" s="70" t="n">
        <v>0</v>
      </c>
      <c r="L4" s="70" t="n">
        <v>5</v>
      </c>
    </row>
    <row r="5" ht="15" customHeight="1" s="66">
      <c r="A5" s="70" t="n">
        <v>2</v>
      </c>
      <c r="B5" s="70" t="inlineStr">
        <is>
          <t>Sudipta Bisai</t>
        </is>
      </c>
      <c r="C5" s="70" t="inlineStr">
        <is>
          <t>25/04/2026</t>
        </is>
      </c>
      <c r="D5" s="70" t="inlineStr">
        <is>
          <t>Ward</t>
        </is>
      </c>
      <c r="E5" s="71">
        <f>'Sudipta Bisai'!G19</f>
        <v/>
      </c>
      <c r="F5" s="71">
        <f>'Sudipta Bisai'!G22</f>
        <v/>
      </c>
      <c r="G5" s="71">
        <f>'Sudipta Bisai'!G25</f>
        <v/>
      </c>
      <c r="H5" s="71">
        <f>E5+F5+G5</f>
        <v/>
      </c>
      <c r="I5" s="71">
        <f>'Sudipta Bisai'!I19</f>
        <v/>
      </c>
      <c r="J5" s="71">
        <f>H5-I5</f>
        <v/>
      </c>
      <c r="K5" s="70" t="n">
        <v>0</v>
      </c>
      <c r="L5" s="70" t="n">
        <v>1</v>
      </c>
    </row>
    <row r="6" ht="15" customHeight="1" s="66">
      <c r="A6" s="70" t="n">
        <v>3</v>
      </c>
      <c r="B6" s="70" t="inlineStr">
        <is>
          <t>Sahinara Begam</t>
        </is>
      </c>
      <c r="C6" s="70" t="inlineStr">
        <is>
          <t>25/04/2026</t>
        </is>
      </c>
      <c r="D6" s="70" t="inlineStr">
        <is>
          <t>Ward</t>
        </is>
      </c>
      <c r="E6" s="71">
        <f>'Sahinara Begam'!G11</f>
        <v/>
      </c>
      <c r="F6" s="71">
        <f>'Sahinara Begam'!G14</f>
        <v/>
      </c>
      <c r="G6" s="71">
        <f>'Sahinara Begam'!G17</f>
        <v/>
      </c>
      <c r="H6" s="71">
        <f>E6+F6+G6</f>
        <v/>
      </c>
      <c r="I6" s="71">
        <f>'Sahinara Begam'!I11</f>
        <v/>
      </c>
      <c r="J6" s="71">
        <f>H6-I6</f>
        <v/>
      </c>
      <c r="K6" s="70" t="n">
        <v>0</v>
      </c>
      <c r="L6" s="70" t="n">
        <v>1</v>
      </c>
    </row>
    <row r="7" ht="15" customHeight="1" s="66">
      <c r="A7" s="70" t="n">
        <v>4</v>
      </c>
      <c r="B7" s="70" t="inlineStr">
        <is>
          <t>Chintapalli Vishal</t>
        </is>
      </c>
      <c r="C7" s="70" t="inlineStr">
        <is>
          <t>01/04/2026</t>
        </is>
      </c>
      <c r="D7" s="70" t="inlineStr">
        <is>
          <t>OT+Ward</t>
        </is>
      </c>
      <c r="E7" s="71">
        <f>'Chintapalli Vishal'!G28</f>
        <v/>
      </c>
      <c r="F7" s="71">
        <f>'Chintapalli Vishal'!G31</f>
        <v/>
      </c>
      <c r="G7" s="71">
        <f>'Chintapalli Vishal'!G34</f>
        <v/>
      </c>
      <c r="H7" s="71">
        <f>E7+F7+G7</f>
        <v/>
      </c>
      <c r="I7" s="71">
        <f>'Chintapalli Vishal'!I28</f>
        <v/>
      </c>
      <c r="J7" s="71">
        <f>H7-I7</f>
        <v/>
      </c>
      <c r="K7" s="70" t="n">
        <v>0</v>
      </c>
      <c r="L7" s="70" t="n">
        <v>0</v>
      </c>
    </row>
    <row r="8" ht="15" customHeight="1" s="66">
      <c r="A8" s="70" t="n">
        <v>5</v>
      </c>
      <c r="B8" s="70" t="inlineStr">
        <is>
          <t>Babita Barman</t>
        </is>
      </c>
      <c r="C8" s="70" t="inlineStr">
        <is>
          <t>05/02/2026</t>
        </is>
      </c>
      <c r="D8" s="70" t="inlineStr">
        <is>
          <t>OT</t>
        </is>
      </c>
      <c r="E8" s="71">
        <f>'Babita Barman'!G25</f>
        <v/>
      </c>
      <c r="F8" s="71">
        <f>'Babita Barman'!G28</f>
        <v/>
      </c>
      <c r="G8" s="71">
        <f>'Babita Barman'!G31</f>
        <v/>
      </c>
      <c r="H8" s="71">
        <f>E8+F8+G8</f>
        <v/>
      </c>
      <c r="I8" s="71">
        <f>'Babita Barman'!I25</f>
        <v/>
      </c>
      <c r="J8" s="71">
        <f>H8-I8</f>
        <v/>
      </c>
      <c r="K8" s="70" t="n">
        <v>0</v>
      </c>
      <c r="L8" s="70" t="n">
        <v>1</v>
      </c>
    </row>
    <row r="9" ht="15" customHeight="1" s="66">
      <c r="A9" s="70" t="n">
        <v>6</v>
      </c>
      <c r="B9" s="70" t="inlineStr">
        <is>
          <t>Souren Banerjee</t>
        </is>
      </c>
      <c r="C9" s="70" t="inlineStr">
        <is>
          <t>19/04/2026</t>
        </is>
      </c>
      <c r="D9" s="70" t="inlineStr">
        <is>
          <t>Ward</t>
        </is>
      </c>
      <c r="E9" s="71">
        <f>'Souren Banerjee'!G16</f>
        <v/>
      </c>
      <c r="F9" s="71">
        <f>'Souren Banerjee'!G19</f>
        <v/>
      </c>
      <c r="G9" s="71">
        <f>'Souren Banerjee'!G22</f>
        <v/>
      </c>
      <c r="H9" s="71">
        <f>E9+F9+G9</f>
        <v/>
      </c>
      <c r="I9" s="71">
        <f>'Souren Banerjee'!I16</f>
        <v/>
      </c>
      <c r="J9" s="71">
        <f>H9-I9</f>
        <v/>
      </c>
      <c r="K9" s="70" t="n">
        <v>0</v>
      </c>
      <c r="L9" s="70" t="n">
        <v>1</v>
      </c>
    </row>
    <row r="10" ht="15" customHeight="1" s="66">
      <c r="A10" s="70" t="n">
        <v>7</v>
      </c>
      <c r="B10" s="70" t="inlineStr">
        <is>
          <t>Mona Chakraborty</t>
        </is>
      </c>
      <c r="C10" s="70" t="inlineStr">
        <is>
          <t>01/05/2026</t>
        </is>
      </c>
      <c r="D10" s="70" t="inlineStr">
        <is>
          <t>OT</t>
        </is>
      </c>
      <c r="E10" s="71">
        <f>'Mona Chakraborty'!G23</f>
        <v/>
      </c>
      <c r="F10" s="71">
        <f>'Mona Chakraborty'!G26</f>
        <v/>
      </c>
      <c r="G10" s="71">
        <f>'Mona Chakraborty'!G29</f>
        <v/>
      </c>
      <c r="H10" s="71">
        <f>E10+F10+G10</f>
        <v/>
      </c>
      <c r="I10" s="71">
        <f>'Mona Chakraborty'!I23</f>
        <v/>
      </c>
      <c r="J10" s="71">
        <f>H10-I10</f>
        <v/>
      </c>
      <c r="K10" s="70" t="n">
        <v>0</v>
      </c>
      <c r="L10" s="70" t="n">
        <v>3</v>
      </c>
    </row>
    <row r="11" ht="15" customHeight="1" s="66">
      <c r="A11" s="70" t="n">
        <v>8</v>
      </c>
      <c r="B11" s="70" t="inlineStr">
        <is>
          <t>Mohammedal Hasina</t>
        </is>
      </c>
      <c r="C11" s="70" t="inlineStr">
        <is>
          <t>01/05/2026</t>
        </is>
      </c>
      <c r="D11" s="70" t="inlineStr">
        <is>
          <t>OT</t>
        </is>
      </c>
      <c r="E11" s="71">
        <f>'Mohammedal Hasina'!G10</f>
        <v/>
      </c>
      <c r="F11" s="71">
        <f>'Mohammedal Hasina'!G13</f>
        <v/>
      </c>
      <c r="G11" s="71">
        <f>'Mohammedal Hasina'!G16</f>
        <v/>
      </c>
      <c r="H11" s="71">
        <f>E11+F11+G11</f>
        <v/>
      </c>
      <c r="I11" s="71">
        <f>'Mohammedal Hasina'!I10</f>
        <v/>
      </c>
      <c r="J11" s="71">
        <f>H11-I11</f>
        <v/>
      </c>
      <c r="K11" s="70" t="n">
        <v>0</v>
      </c>
      <c r="L11" s="70" t="n">
        <v>0</v>
      </c>
    </row>
    <row r="12" ht="15" customHeight="1" s="66">
      <c r="A12" s="70" t="n">
        <v>9</v>
      </c>
      <c r="B12" s="70" t="inlineStr">
        <is>
          <t>Sahinara Begam (2)</t>
        </is>
      </c>
      <c r="C12" s="70" t="inlineStr">
        <is>
          <t>25/04/2026</t>
        </is>
      </c>
      <c r="D12" s="70" t="inlineStr">
        <is>
          <t>Ward</t>
        </is>
      </c>
      <c r="E12" s="71">
        <f>'Sahinara Begam-2'!G11</f>
        <v/>
      </c>
      <c r="F12" s="71">
        <f>'Sahinara Begam-2'!G14</f>
        <v/>
      </c>
      <c r="G12" s="71">
        <f>'Sahinara Begam-2'!G17</f>
        <v/>
      </c>
      <c r="H12" s="71">
        <f>E12+F12+G12</f>
        <v/>
      </c>
      <c r="I12" s="71">
        <f>'Sahinara Begam-2'!I11</f>
        <v/>
      </c>
      <c r="J12" s="71">
        <f>H12-I12</f>
        <v/>
      </c>
      <c r="K12" s="70" t="n">
        <v>0</v>
      </c>
      <c r="L12" s="70" t="n">
        <v>1</v>
      </c>
    </row>
    <row r="13" ht="15" customHeight="1" s="66">
      <c r="A13" s="70" t="n">
        <v>10</v>
      </c>
      <c r="B13" s="70" t="inlineStr">
        <is>
          <t>Asish Chaudhary</t>
        </is>
      </c>
      <c r="C13" s="70" t="inlineStr">
        <is>
          <t>22/04/2026</t>
        </is>
      </c>
      <c r="D13" s="70" t="inlineStr">
        <is>
          <t>Ward</t>
        </is>
      </c>
      <c r="E13" s="71">
        <f>'Asish Chaudhary'!G10</f>
        <v/>
      </c>
      <c r="F13" s="71">
        <f>'Asish Chaudhary'!G13</f>
        <v/>
      </c>
      <c r="G13" s="71">
        <f>'Asish Chaudhary'!G16</f>
        <v/>
      </c>
      <c r="H13" s="71">
        <f>E13+F13+G13</f>
        <v/>
      </c>
      <c r="I13" s="71">
        <f>'Asish Chaudhary'!I10</f>
        <v/>
      </c>
      <c r="J13" s="71">
        <f>H13-I13</f>
        <v/>
      </c>
      <c r="K13" s="70" t="n">
        <v>0</v>
      </c>
      <c r="L13" s="70" t="n">
        <v>2</v>
      </c>
    </row>
    <row r="14" ht="15" customHeight="1" s="66">
      <c r="A14" s="70" t="n">
        <v>11</v>
      </c>
      <c r="B14" s="70" t="inlineStr">
        <is>
          <t>Rahul Das</t>
        </is>
      </c>
      <c r="C14" s="70" t="inlineStr">
        <is>
          <t>22/04/2026</t>
        </is>
      </c>
      <c r="D14" s="70" t="inlineStr">
        <is>
          <t>OT+Ward</t>
        </is>
      </c>
      <c r="E14" s="71">
        <f>'Rahul Das'!G46</f>
        <v/>
      </c>
      <c r="F14" s="71">
        <f>'Rahul Das'!G49</f>
        <v/>
      </c>
      <c r="G14" s="71">
        <f>'Rahul Das'!G52</f>
        <v/>
      </c>
      <c r="H14" s="71">
        <f>E14+F14+G14</f>
        <v/>
      </c>
      <c r="I14" s="71">
        <f>'Rahul Das'!I46</f>
        <v/>
      </c>
      <c r="J14" s="71">
        <f>H14-I14</f>
        <v/>
      </c>
      <c r="K14" s="70" t="n">
        <v>0</v>
      </c>
      <c r="L14" s="70" t="n">
        <v>6</v>
      </c>
    </row>
    <row r="15" ht="15" customHeight="1" s="66">
      <c r="A15" s="70" t="n">
        <v>12</v>
      </c>
      <c r="B15" s="70" t="inlineStr">
        <is>
          <t>Siuli Biswas</t>
        </is>
      </c>
      <c r="C15" s="70" t="inlineStr">
        <is>
          <t>22/04/2026</t>
        </is>
      </c>
      <c r="D15" s="70" t="inlineStr">
        <is>
          <t>OT</t>
        </is>
      </c>
      <c r="E15" s="71">
        <f>'Siuli Biswas'!G27</f>
        <v/>
      </c>
      <c r="F15" s="71">
        <f>'Siuli Biswas'!G30</f>
        <v/>
      </c>
      <c r="G15" s="71">
        <f>'Siuli Biswas'!G33</f>
        <v/>
      </c>
      <c r="H15" s="71">
        <f>E15+F15+G15</f>
        <v/>
      </c>
      <c r="I15" s="71">
        <f>'Siuli Biswas'!I27</f>
        <v/>
      </c>
      <c r="J15" s="71">
        <f>H15-I15</f>
        <v/>
      </c>
      <c r="K15" s="70" t="n">
        <v>0</v>
      </c>
      <c r="L15" s="70" t="n">
        <v>1</v>
      </c>
    </row>
    <row r="16" ht="15" customHeight="1" s="66">
      <c r="A16" s="70" t="n">
        <v>13</v>
      </c>
      <c r="B16" s="70" t="inlineStr">
        <is>
          <t>Pt. Gupta Sin</t>
        </is>
      </c>
      <c r="C16" s="70" t="inlineStr">
        <is>
          <t>Not mentioned</t>
        </is>
      </c>
      <c r="D16" s="70" t="inlineStr">
        <is>
          <t>Ward</t>
        </is>
      </c>
      <c r="E16" s="71">
        <f>'Pt Gupta Sin'!G10</f>
        <v/>
      </c>
      <c r="F16" s="71">
        <f>'Pt Gupta Sin'!G13</f>
        <v/>
      </c>
      <c r="G16" s="71">
        <f>'Pt Gupta Sin'!G16</f>
        <v/>
      </c>
      <c r="H16" s="71">
        <f>E16+F16+G16</f>
        <v/>
      </c>
      <c r="I16" s="71">
        <f>'Pt Gupta Sin'!I10</f>
        <v/>
      </c>
      <c r="J16" s="71">
        <f>H16-I16</f>
        <v/>
      </c>
      <c r="K16" s="70" t="n">
        <v>0</v>
      </c>
      <c r="L16" s="70" t="n">
        <v>2</v>
      </c>
    </row>
    <row r="17" ht="15" customHeight="1" s="66">
      <c r="A17" s="70" t="n">
        <v>14</v>
      </c>
      <c r="B17" s="70" t="inlineStr">
        <is>
          <t>Ishita Peri</t>
        </is>
      </c>
      <c r="C17" s="70" t="inlineStr">
        <is>
          <t>19/04/2026</t>
        </is>
      </c>
      <c r="D17" s="70" t="inlineStr">
        <is>
          <t>OT</t>
        </is>
      </c>
      <c r="E17" s="71">
        <f>'Ishita Peri'!G23</f>
        <v/>
      </c>
      <c r="F17" s="71">
        <f>'Ishita Peri'!G26</f>
        <v/>
      </c>
      <c r="G17" s="71">
        <f>'Ishita Peri'!G29</f>
        <v/>
      </c>
      <c r="H17" s="71">
        <f>E17+F17+G17</f>
        <v/>
      </c>
      <c r="I17" s="71">
        <f>'Ishita Peri'!I23</f>
        <v/>
      </c>
      <c r="J17" s="71">
        <f>H17-I17</f>
        <v/>
      </c>
      <c r="K17" s="70" t="n">
        <v>0</v>
      </c>
      <c r="L17" s="70" t="n">
        <v>2</v>
      </c>
    </row>
    <row r="18" ht="15" customHeight="1" s="66">
      <c r="A18" s="70" t="n">
        <v>15</v>
      </c>
      <c r="B18" s="70" t="inlineStr">
        <is>
          <t>Suhana Khatun</t>
        </is>
      </c>
      <c r="C18" s="70" t="inlineStr">
        <is>
          <t>13/04/2026</t>
        </is>
      </c>
      <c r="D18" s="70" t="inlineStr">
        <is>
          <t>OT+Ward</t>
        </is>
      </c>
      <c r="E18" s="71">
        <f>'Suhana Khatun'!G56</f>
        <v/>
      </c>
      <c r="F18" s="71">
        <f>'Suhana Khatun'!G59</f>
        <v/>
      </c>
      <c r="G18" s="71">
        <f>'Suhana Khatun'!G62</f>
        <v/>
      </c>
      <c r="H18" s="71">
        <f>E18+F18+G18</f>
        <v/>
      </c>
      <c r="I18" s="71">
        <f>'Suhana Khatun'!I56</f>
        <v/>
      </c>
      <c r="J18" s="71">
        <f>H18-I18</f>
        <v/>
      </c>
      <c r="K18" s="70" t="n">
        <v>0</v>
      </c>
      <c r="L18" s="70" t="n">
        <v>8</v>
      </c>
    </row>
    <row r="19" ht="15" customHeight="1" s="66">
      <c r="A19" s="70" t="n">
        <v>16</v>
      </c>
      <c r="B19" s="70" t="inlineStr">
        <is>
          <t>Mou Das</t>
        </is>
      </c>
      <c r="C19" s="70" t="inlineStr">
        <is>
          <t>05/07/2026</t>
        </is>
      </c>
      <c r="D19" s="70" t="inlineStr">
        <is>
          <t>Dilation — BTIVA</t>
        </is>
      </c>
      <c r="E19" s="71">
        <f>'Mou Das'!G12</f>
        <v/>
      </c>
      <c r="F19" s="71">
        <f>SUM('Mou Das'!G15:G15)</f>
        <v/>
      </c>
      <c r="G19" s="71">
        <f>SUM('Mou Das'!G18:G18)</f>
        <v/>
      </c>
      <c r="H19" s="71">
        <f>E19+F19+G19</f>
        <v/>
      </c>
      <c r="I19" s="71">
        <f>'Mou Das'!I12</f>
        <v/>
      </c>
      <c r="J19" s="71">
        <f>H19-I19</f>
        <v/>
      </c>
      <c r="K19" s="70" t="n">
        <v>0</v>
      </c>
      <c r="L19" s="70" t="n">
        <v>1</v>
      </c>
    </row>
    <row r="20" ht="15" customHeight="1" s="66">
      <c r="A20" s="70" t="n">
        <v>17</v>
      </c>
      <c r="B20" s="70" t="inlineStr">
        <is>
          <t>Suvarna Mondal</t>
        </is>
      </c>
      <c r="C20" s="70" t="inlineStr">
        <is>
          <t>09/07/2026</t>
        </is>
      </c>
      <c r="D20" s="70" t="inlineStr">
        <is>
          <t>Orthopaedic — Spinal</t>
        </is>
      </c>
      <c r="E20" s="71">
        <f>'Suvarna Mondal'!G50</f>
        <v/>
      </c>
      <c r="F20" s="71">
        <f>SUM('Suvarna Mondal'!G53:G53)</f>
        <v/>
      </c>
      <c r="G20" s="71">
        <f>SUM('Suvarna Mondal'!G56:G56)</f>
        <v/>
      </c>
      <c r="H20" s="71">
        <f>E20+F20+G20</f>
        <v/>
      </c>
      <c r="I20" s="71">
        <f>'Suvarna Mondal'!I50</f>
        <v/>
      </c>
      <c r="J20" s="71">
        <f>H20-I20</f>
        <v/>
      </c>
      <c r="K20" s="70" t="n">
        <v>1</v>
      </c>
      <c r="L20" s="70" t="n">
        <v>12</v>
      </c>
    </row>
    <row r="21" ht="15" customHeight="1" s="66">
      <c r="A21" s="70" t="n">
        <v>18</v>
      </c>
      <c r="B21" s="70" t="inlineStr">
        <is>
          <t>Payel Das</t>
        </is>
      </c>
      <c r="C21" s="70" t="inlineStr">
        <is>
          <t>07/07/2026</t>
        </is>
      </c>
      <c r="D21" s="70" t="inlineStr">
        <is>
          <t>Ward — Gynaecology</t>
        </is>
      </c>
      <c r="E21" s="71">
        <f>'Payel Das'!G19</f>
        <v/>
      </c>
      <c r="F21" s="71">
        <f>SUM('Payel Das'!G22:G22)</f>
        <v/>
      </c>
      <c r="G21" s="71">
        <f>SUM('Payel Das'!G25:G25)</f>
        <v/>
      </c>
      <c r="H21" s="71">
        <f>E21+F21+G21</f>
        <v/>
      </c>
      <c r="I21" s="71">
        <f>'Payel Das'!I19</f>
        <v/>
      </c>
      <c r="J21" s="71">
        <f>H21-I21</f>
        <v/>
      </c>
      <c r="K21" s="70" t="n">
        <v>1</v>
      </c>
      <c r="L21" s="70" t="n">
        <v>2</v>
      </c>
    </row>
    <row r="22" ht="15" customHeight="1" s="66">
      <c r="A22" s="70" t="n">
        <v>19</v>
      </c>
      <c r="B22" s="70" t="inlineStr">
        <is>
          <t>Mainuddin Molla</t>
        </is>
      </c>
      <c r="C22" s="70" t="inlineStr">
        <is>
          <t>07/07/2026</t>
        </is>
      </c>
      <c r="D22" s="70" t="inlineStr">
        <is>
          <t xml:space="preserve">Radius + Ulna Bone Fixation — </t>
        </is>
      </c>
      <c r="E22" s="71">
        <f>'Mainuddin Molla'!G47</f>
        <v/>
      </c>
      <c r="F22" s="71">
        <f>SUM('Mainuddin Molla'!G50:G50)</f>
        <v/>
      </c>
      <c r="G22" s="71">
        <f>SUM('Mainuddin Molla'!G53:G53)</f>
        <v/>
      </c>
      <c r="H22" s="71">
        <f>E22+F22+G22</f>
        <v/>
      </c>
      <c r="I22" s="71">
        <f>'Mainuddin Molla'!I47</f>
        <v/>
      </c>
      <c r="J22" s="71">
        <f>H22-I22</f>
        <v/>
      </c>
      <c r="K22" s="70" t="n">
        <v>2</v>
      </c>
      <c r="L22" s="70" t="n">
        <v>11</v>
      </c>
    </row>
    <row r="23" ht="15" customHeight="1" s="66">
      <c r="A23" s="70" t="n">
        <v>20</v>
      </c>
      <c r="B23" s="70" t="inlineStr">
        <is>
          <t>Shankar Mallick</t>
        </is>
      </c>
      <c r="C23" s="70" t="inlineStr">
        <is>
          <t>02/07/2026</t>
        </is>
      </c>
      <c r="D23" s="70" t="inlineStr">
        <is>
          <t>Implant Removal — Spinal</t>
        </is>
      </c>
      <c r="E23" s="71">
        <f>'Shankar Mallick'!G25</f>
        <v/>
      </c>
      <c r="F23" s="71">
        <f>SUM('Shankar Mallick'!G28:G28)</f>
        <v/>
      </c>
      <c r="G23" s="71">
        <f>SUM('Shankar Mallick'!G31:G31)</f>
        <v/>
      </c>
      <c r="H23" s="71">
        <f>E23+F23+G23</f>
        <v/>
      </c>
      <c r="I23" s="71">
        <f>'Shankar Mallick'!I25</f>
        <v/>
      </c>
      <c r="J23" s="71">
        <f>H23-I23</f>
        <v/>
      </c>
      <c r="K23" s="70" t="n">
        <v>0</v>
      </c>
      <c r="L23" s="70" t="n">
        <v>6</v>
      </c>
    </row>
    <row r="24" ht="15" customHeight="1" s="66">
      <c r="A24" s="70" t="n">
        <v>21</v>
      </c>
      <c r="B24" s="70" t="inlineStr">
        <is>
          <t>Rabia Bibi</t>
        </is>
      </c>
      <c r="C24" s="70" t="inlineStr">
        <is>
          <t>02/07/2026</t>
        </is>
      </c>
      <c r="D24" s="70" t="inlineStr">
        <is>
          <t>Block Anaesthesia</t>
        </is>
      </c>
      <c r="E24" s="71">
        <f>'Rabia Bibi'!G39</f>
        <v/>
      </c>
      <c r="F24" s="71">
        <f>SUM('Rabia Bibi'!G42:G42)</f>
        <v/>
      </c>
      <c r="G24" s="71">
        <f>SUM('Rabia Bibi'!G45:G45)</f>
        <v/>
      </c>
      <c r="H24" s="71">
        <f>E24+F24+G24</f>
        <v/>
      </c>
      <c r="I24" s="71">
        <f>'Rabia Bibi'!I39</f>
        <v/>
      </c>
      <c r="J24" s="71">
        <f>H24-I24</f>
        <v/>
      </c>
      <c r="K24" s="70" t="n">
        <v>2</v>
      </c>
      <c r="L24" s="70" t="n">
        <v>8</v>
      </c>
    </row>
    <row r="25" ht="15" customHeight="1" s="66">
      <c r="A25" s="70" t="n">
        <v>22</v>
      </c>
      <c r="B25" s="70" t="inlineStr">
        <is>
          <t>Sayantan Mondal</t>
        </is>
      </c>
      <c r="C25" s="70" t="inlineStr">
        <is>
          <t>21/06/2026</t>
        </is>
      </c>
      <c r="D25" s="70" t="inlineStr">
        <is>
          <t>Block — Paediatric (7Y/23kg)</t>
        </is>
      </c>
      <c r="E25" s="71">
        <f>'Sayantan Mondal'!G41</f>
        <v/>
      </c>
      <c r="F25" s="71">
        <f>SUM('Sayantan Mondal'!G44:G44)</f>
        <v/>
      </c>
      <c r="G25" s="71">
        <f>SUM('Sayantan Mondal'!G47:G47)</f>
        <v/>
      </c>
      <c r="H25" s="71">
        <f>E25+F25+G25</f>
        <v/>
      </c>
      <c r="I25" s="71">
        <f>'Sayantan Mondal'!I41</f>
        <v/>
      </c>
      <c r="J25" s="71">
        <f>H25-I25</f>
        <v/>
      </c>
      <c r="K25" s="70" t="n">
        <v>1</v>
      </c>
      <c r="L25" s="70" t="n">
        <v>9</v>
      </c>
    </row>
    <row r="26" ht="15" customHeight="1" s="66">
      <c r="A26" s="70" t="n">
        <v>23</v>
      </c>
      <c r="B26" s="70" t="inlineStr">
        <is>
          <t>Rupali Khatun</t>
        </is>
      </c>
      <c r="C26" s="70" t="inlineStr">
        <is>
          <t>02/07/2026</t>
        </is>
      </c>
      <c r="D26" s="70" t="inlineStr">
        <is>
          <t>Spinal</t>
        </is>
      </c>
      <c r="E26" s="71">
        <f>'Rupali Khatun'!G40</f>
        <v/>
      </c>
      <c r="F26" s="71">
        <f>SUM('Rupali Khatun'!G43:G43)</f>
        <v/>
      </c>
      <c r="G26" s="71">
        <f>SUM('Rupali Khatun'!G46:G46)</f>
        <v/>
      </c>
      <c r="H26" s="71">
        <f>E26+F26+G26</f>
        <v/>
      </c>
      <c r="I26" s="71">
        <f>'Rupali Khatun'!I40</f>
        <v/>
      </c>
      <c r="J26" s="71">
        <f>H26-I26</f>
        <v/>
      </c>
      <c r="K26" s="70" t="n">
        <v>1</v>
      </c>
      <c r="L26" s="70" t="n">
        <v>8</v>
      </c>
    </row>
    <row r="27" ht="15" customHeight="1" s="66">
      <c r="A27" s="70" t="n">
        <v>24</v>
      </c>
      <c r="B27" s="70" t="inlineStr">
        <is>
          <t>Raejul Islam</t>
        </is>
      </c>
      <c r="C27" s="70" t="inlineStr">
        <is>
          <t>02/06/2026</t>
        </is>
      </c>
      <c r="D27" s="70" t="inlineStr">
        <is>
          <t>Spinal</t>
        </is>
      </c>
      <c r="E27" s="71">
        <f>'Raejul Islam'!G43</f>
        <v/>
      </c>
      <c r="F27" s="71">
        <f>SUM('Raejul Islam'!G46:G46)</f>
        <v/>
      </c>
      <c r="G27" s="71">
        <f>SUM('Raejul Islam'!G49:G49)</f>
        <v/>
      </c>
      <c r="H27" s="71">
        <f>E27+F27+G27</f>
        <v/>
      </c>
      <c r="I27" s="71">
        <f>'Raejul Islam'!I43</f>
        <v/>
      </c>
      <c r="J27" s="71">
        <f>H27-I27</f>
        <v/>
      </c>
      <c r="K27" s="70" t="n">
        <v>1</v>
      </c>
      <c r="L27" s="70" t="n">
        <v>9</v>
      </c>
    </row>
    <row r="28" ht="15" customHeight="1" s="66">
      <c r="A28" s="70" t="n">
        <v>25</v>
      </c>
      <c r="B28" s="70" t="inlineStr">
        <is>
          <t>Sohallam Molla</t>
        </is>
      </c>
      <c r="C28" s="70" t="inlineStr">
        <is>
          <t>26/06/2026</t>
        </is>
      </c>
      <c r="D28" s="70" t="inlineStr">
        <is>
          <t>Spinal</t>
        </is>
      </c>
      <c r="E28" s="71">
        <f>'Sohallam Molla'!G60</f>
        <v/>
      </c>
      <c r="F28" s="71">
        <f>SUM('Sohallam Molla'!G63:G63)</f>
        <v/>
      </c>
      <c r="G28" s="71">
        <f>SUM('Sohallam Molla'!G66:G66)</f>
        <v/>
      </c>
      <c r="H28" s="71">
        <f>E28+F28+G28</f>
        <v/>
      </c>
      <c r="I28" s="71">
        <f>'Sohallam Molla'!I60</f>
        <v/>
      </c>
      <c r="J28" s="71">
        <f>H28-I28</f>
        <v/>
      </c>
      <c r="K28" s="70" t="n">
        <v>1</v>
      </c>
      <c r="L28" s="70" t="n">
        <v>17</v>
      </c>
    </row>
    <row r="29" ht="15" customHeight="1" s="66">
      <c r="A29" s="70" t="n">
        <v>26</v>
      </c>
      <c r="B29" s="70" t="inlineStr">
        <is>
          <t>Varsha Pradhan</t>
        </is>
      </c>
      <c r="C29" s="70" t="inlineStr">
        <is>
          <t>30/06/2026</t>
        </is>
      </c>
      <c r="D29" s="70" t="inlineStr">
        <is>
          <t>Ward — Mediclaim Patient</t>
        </is>
      </c>
      <c r="E29" s="71">
        <f>'Varsha Pradhan'!G17</f>
        <v/>
      </c>
      <c r="F29" s="71">
        <f>SUM('Varsha Pradhan'!G20:G20)</f>
        <v/>
      </c>
      <c r="G29" s="71">
        <f>SUM('Varsha Pradhan'!G23:G23)</f>
        <v/>
      </c>
      <c r="H29" s="71">
        <f>E29+F29+G29</f>
        <v/>
      </c>
      <c r="I29" s="71">
        <f>'Varsha Pradhan'!I17</f>
        <v/>
      </c>
      <c r="J29" s="71">
        <f>H29-I29</f>
        <v/>
      </c>
      <c r="K29" s="70" t="n">
        <v>1</v>
      </c>
      <c r="L29" s="70" t="n">
        <v>2</v>
      </c>
    </row>
    <row r="30" ht="15" customHeight="1" s="66">
      <c r="A30" s="70" t="n">
        <v>27</v>
      </c>
      <c r="B30" s="70" t="inlineStr">
        <is>
          <t>Sagar Gupta</t>
        </is>
      </c>
      <c r="C30" s="70" t="inlineStr">
        <is>
          <t>28/06/2026</t>
        </is>
      </c>
      <c r="D30" s="70" t="inlineStr">
        <is>
          <t>DJ Stent Removal — LA/Self — 1</t>
        </is>
      </c>
      <c r="E30" s="71">
        <f>'Sagar Gupta'!G13</f>
        <v/>
      </c>
      <c r="F30" s="71">
        <f>SUM('Sagar Gupta'!G16:G16)</f>
        <v/>
      </c>
      <c r="G30" s="71">
        <f>SUM('Sagar Gupta'!G19:G19)</f>
        <v/>
      </c>
      <c r="H30" s="71">
        <f>E30+F30+G30</f>
        <v/>
      </c>
      <c r="I30" s="71">
        <f>'Sagar Gupta'!I13</f>
        <v/>
      </c>
      <c r="J30" s="71">
        <f>H30-I30</f>
        <v/>
      </c>
      <c r="K30" s="70" t="n">
        <v>0</v>
      </c>
      <c r="L30" s="70" t="n">
        <v>3</v>
      </c>
    </row>
    <row r="31" ht="15" customHeight="1" s="66">
      <c r="A31" s="70" t="n">
        <v>28</v>
      </c>
      <c r="B31" s="70" t="inlineStr">
        <is>
          <t>Sapna</t>
        </is>
      </c>
      <c r="C31" s="70" t="inlineStr">
        <is>
          <t>25/06/2026</t>
        </is>
      </c>
      <c r="D31" s="70" t="inlineStr">
        <is>
          <t>DJ Stent Removal — LA/Self — 1</t>
        </is>
      </c>
      <c r="E31" s="71">
        <f>Sapna!G12</f>
        <v/>
      </c>
      <c r="F31" s="71">
        <f>SUM(Sapna!G15:G15)</f>
        <v/>
      </c>
      <c r="G31" s="71">
        <f>SUM(Sapna!G18:G18)</f>
        <v/>
      </c>
      <c r="H31" s="71">
        <f>E31+F31+G31</f>
        <v/>
      </c>
      <c r="I31" s="71">
        <f>Sapna!I12</f>
        <v/>
      </c>
      <c r="J31" s="71">
        <f>H31-I31</f>
        <v/>
      </c>
      <c r="K31" s="70" t="n">
        <v>0</v>
      </c>
      <c r="L31" s="70" t="n">
        <v>3</v>
      </c>
    </row>
    <row r="32" ht="15" customHeight="1" s="66">
      <c r="A32" s="70" t="n">
        <v>29</v>
      </c>
      <c r="B32" s="70" t="inlineStr">
        <is>
          <t>Dola Roy Gupta (Jun 27)</t>
        </is>
      </c>
      <c r="C32" s="70" t="inlineStr">
        <is>
          <t>27/06/2026</t>
        </is>
      </c>
      <c r="D32" s="70" t="inlineStr">
        <is>
          <t>RIPS Spine — GA</t>
        </is>
      </c>
      <c r="E32" s="71">
        <f>'Dola Roy Gupta (Jun 27)'!G54</f>
        <v/>
      </c>
      <c r="F32" s="71">
        <f>SUM('Dola Roy Gupta (Jun 27)'!G57:G57)</f>
        <v/>
      </c>
      <c r="G32" s="71">
        <f>SUM('Dola Roy Gupta (Jun 27)'!G60:G60)</f>
        <v/>
      </c>
      <c r="H32" s="71">
        <f>E32+F32+G32</f>
        <v/>
      </c>
      <c r="I32" s="71">
        <f>'Dola Roy Gupta (Jun 27)'!I54</f>
        <v/>
      </c>
      <c r="J32" s="71">
        <f>H32-I32</f>
        <v/>
      </c>
      <c r="K32" s="70" t="n">
        <v>1</v>
      </c>
      <c r="L32" s="70" t="n">
        <v>12</v>
      </c>
    </row>
    <row r="33" ht="15" customHeight="1" s="66">
      <c r="A33" s="70" t="n">
        <v>30</v>
      </c>
      <c r="B33" s="70" t="inlineStr">
        <is>
          <t>Anita Tamang</t>
        </is>
      </c>
      <c r="C33" s="70" t="inlineStr">
        <is>
          <t>29/06/2026</t>
        </is>
      </c>
      <c r="D33" s="70" t="inlineStr">
        <is>
          <t>LA Procedure (Urology)</t>
        </is>
      </c>
      <c r="E33" s="71">
        <f>'Anita Tamang'!G10</f>
        <v/>
      </c>
      <c r="F33" s="71">
        <f>SUM('Anita Tamang'!G13:G13)</f>
        <v/>
      </c>
      <c r="G33" s="71">
        <f>SUM('Anita Tamang'!G16:G16)</f>
        <v/>
      </c>
      <c r="H33" s="71">
        <f>E33+F33+G33</f>
        <v/>
      </c>
      <c r="I33" s="71">
        <f>'Anita Tamang'!I10</f>
        <v/>
      </c>
      <c r="J33" s="71">
        <f>H33-I33</f>
        <v/>
      </c>
      <c r="K33" s="70" t="n">
        <v>0</v>
      </c>
      <c r="L33" s="70" t="n">
        <v>2</v>
      </c>
    </row>
    <row r="34" ht="15" customHeight="1" s="66">
      <c r="A34" s="70" t="n">
        <v>31</v>
      </c>
      <c r="B34" s="70" t="inlineStr">
        <is>
          <t>Shankari — Ward Follow-up</t>
        </is>
      </c>
      <c r="C34" s="70" t="inlineStr">
        <is>
          <t>26/06/2026</t>
        </is>
      </c>
      <c r="D34" s="70" t="inlineStr">
        <is>
          <t>TKR Post-op Ward (Follow-up Co</t>
        </is>
      </c>
      <c r="E34" s="71">
        <f>'Shankari — Ward Follow-up'!G19</f>
        <v/>
      </c>
      <c r="F34" s="71">
        <f>SUM('Shankari — Ward Follow-up'!G22:G22)</f>
        <v/>
      </c>
      <c r="G34" s="71">
        <f>SUM('Shankari — Ward Follow-up'!G25:G25)</f>
        <v/>
      </c>
      <c r="H34" s="71">
        <f>E34+F34+G34</f>
        <v/>
      </c>
      <c r="I34" s="71">
        <f>'Shankari — Ward Follow-up'!I19</f>
        <v/>
      </c>
      <c r="J34" s="71">
        <f>H34-I34</f>
        <v/>
      </c>
      <c r="K34" s="70" t="n">
        <v>1</v>
      </c>
      <c r="L34" s="70" t="n">
        <v>1</v>
      </c>
    </row>
    <row r="35" ht="15" customHeight="1" s="66">
      <c r="A35" s="70" t="n">
        <v>32</v>
      </c>
      <c r="B35" s="70" t="inlineStr">
        <is>
          <t>Raju Mondal</t>
        </is>
      </c>
      <c r="C35" s="70" t="inlineStr">
        <is>
          <t>26/06/2026</t>
        </is>
      </c>
      <c r="D35" s="70" t="inlineStr">
        <is>
          <t>Spinal — Urology</t>
        </is>
      </c>
      <c r="E35" s="71">
        <f>'Raju Mondal'!G39</f>
        <v/>
      </c>
      <c r="F35" s="71">
        <f>SUM('Raju Mondal'!G42:G42)</f>
        <v/>
      </c>
      <c r="G35" s="71">
        <f>SUM('Raju Mondal'!G45:G45)</f>
        <v/>
      </c>
      <c r="H35" s="71">
        <f>E35+F35+G35</f>
        <v/>
      </c>
      <c r="I35" s="71">
        <f>'Raju Mondal'!I39</f>
        <v/>
      </c>
      <c r="J35" s="71">
        <f>H35-I35</f>
        <v/>
      </c>
      <c r="K35" s="70" t="n">
        <v>1</v>
      </c>
      <c r="L35" s="70" t="n">
        <v>9</v>
      </c>
    </row>
    <row r="36" ht="15" customHeight="1" s="66">
      <c r="A36" s="70" t="n">
        <v>33</v>
      </c>
      <c r="B36" s="70" t="inlineStr">
        <is>
          <t>Parul Bala Mondal</t>
        </is>
      </c>
      <c r="C36" s="70" t="inlineStr">
        <is>
          <t>06/07/2026</t>
        </is>
      </c>
      <c r="D36" s="70" t="inlineStr">
        <is>
          <t>CB/Calculus Bladder Stone — GA</t>
        </is>
      </c>
      <c r="E36" s="71">
        <f>'Parul Bala Mondal'!G52</f>
        <v/>
      </c>
      <c r="F36" s="71">
        <f>SUM('Parul Bala Mondal'!G55:G55)</f>
        <v/>
      </c>
      <c r="G36" s="71">
        <f>SUM('Parul Bala Mondal'!G58:G58)</f>
        <v/>
      </c>
      <c r="H36" s="71">
        <f>E36+F36+G36</f>
        <v/>
      </c>
      <c r="I36" s="71">
        <f>'Parul Bala Mondal'!I52</f>
        <v/>
      </c>
      <c r="J36" s="71">
        <f>H36-I36</f>
        <v/>
      </c>
      <c r="K36" s="70" t="n">
        <v>1</v>
      </c>
      <c r="L36" s="70" t="n">
        <v>14</v>
      </c>
    </row>
    <row r="37" ht="15" customHeight="1" s="66">
      <c r="A37" s="70" t="n">
        <v>34</v>
      </c>
      <c r="B37" s="70" t="inlineStr">
        <is>
          <t>Dola Roy (Jul 12)</t>
        </is>
      </c>
      <c r="C37" s="70" t="inlineStr">
        <is>
          <t>12/07/2026</t>
        </is>
      </c>
      <c r="D37" s="70" t="inlineStr">
        <is>
          <t>RIPS + DJ Stent Removal — Spin</t>
        </is>
      </c>
      <c r="E37" s="71">
        <f>'Dola Roy (Jul 12)'!G29</f>
        <v/>
      </c>
      <c r="F37" s="71">
        <f>SUM('Dola Roy (Jul 12)'!G32:G32)</f>
        <v/>
      </c>
      <c r="G37" s="71">
        <f>SUM('Dola Roy (Jul 12)'!G35:G35)</f>
        <v/>
      </c>
      <c r="H37" s="71">
        <f>E37+F37+G37</f>
        <v/>
      </c>
      <c r="I37" s="71">
        <f>'Dola Roy (Jul 12)'!I29</f>
        <v/>
      </c>
      <c r="J37" s="71">
        <f>H37-I37</f>
        <v/>
      </c>
      <c r="K37" s="70" t="n">
        <v>1</v>
      </c>
      <c r="L37" s="70" t="n">
        <v>4</v>
      </c>
    </row>
    <row r="38" ht="15" customHeight="1" s="66">
      <c r="A38" s="70" t="n">
        <v>35</v>
      </c>
      <c r="B38" s="70" t="inlineStr">
        <is>
          <t>Basudeb Roy</t>
        </is>
      </c>
      <c r="C38" s="70" t="inlineStr">
        <is>
          <t>11/07/2026</t>
        </is>
      </c>
      <c r="D38" s="70" t="inlineStr">
        <is>
          <t>Cystoscopy — LA/Self</t>
        </is>
      </c>
      <c r="E38" s="71">
        <f>'Basudeb Roy'!G14</f>
        <v/>
      </c>
      <c r="F38" s="71">
        <f>SUM('Basudeb Roy'!G17:G17)</f>
        <v/>
      </c>
      <c r="G38" s="71">
        <f>SUM('Basudeb Roy'!G20:G20)</f>
        <v/>
      </c>
      <c r="H38" s="71">
        <f>E38+F38+G38</f>
        <v/>
      </c>
      <c r="I38" s="71">
        <f>'Basudeb Roy'!I14</f>
        <v/>
      </c>
      <c r="J38" s="71">
        <f>H38-I38</f>
        <v/>
      </c>
      <c r="K38" s="70" t="n">
        <v>0</v>
      </c>
      <c r="L38" s="70" t="n">
        <v>3</v>
      </c>
    </row>
    <row r="39" ht="15" customHeight="1" s="66">
      <c r="A39" s="70" t="n">
        <v>36</v>
      </c>
      <c r="B39" s="70" t="inlineStr">
        <is>
          <t>Chiradeep Chokrobarty</t>
        </is>
      </c>
      <c r="C39" s="70" t="inlineStr">
        <is>
          <t>07/05/2026</t>
        </is>
      </c>
      <c r="D39" s="70" t="inlineStr">
        <is>
          <t>Cystoscopy — LA/Self</t>
        </is>
      </c>
      <c r="E39" s="71">
        <f>'Chiradeep Chokrobarty'!G10</f>
        <v/>
      </c>
      <c r="F39" s="71">
        <f>SUM('Chiradeep Chokrobarty'!G13:G13)</f>
        <v/>
      </c>
      <c r="G39" s="71">
        <f>SUM('Chiradeep Chokrobarty'!G16:G16)</f>
        <v/>
      </c>
      <c r="H39" s="71">
        <f>E39+F39+G39</f>
        <v/>
      </c>
      <c r="I39" s="71">
        <f>'Chiradeep Chokrobarty'!I10</f>
        <v/>
      </c>
      <c r="J39" s="71">
        <f>H39-I39</f>
        <v/>
      </c>
      <c r="K39" s="70" t="n">
        <v>0</v>
      </c>
      <c r="L39" s="70" t="n">
        <v>2</v>
      </c>
    </row>
    <row r="40" ht="15" customHeight="1" s="66">
      <c r="A40" s="70" t="n">
        <v>37</v>
      </c>
      <c r="B40" s="70" t="inlineStr">
        <is>
          <t>Adigai G</t>
        </is>
      </c>
      <c r="C40" s="70" t="inlineStr">
        <is>
          <t>07/05/2026</t>
        </is>
      </c>
      <c r="D40" s="70" t="inlineStr">
        <is>
          <t>Cystoscopy — LA/Self</t>
        </is>
      </c>
      <c r="E40" s="71">
        <f>'Adigai G'!G12</f>
        <v/>
      </c>
      <c r="F40" s="71">
        <f>SUM('Adigai G'!G15:G15)</f>
        <v/>
      </c>
      <c r="G40" s="71">
        <f>SUM('Adigai G'!G18:G18)</f>
        <v/>
      </c>
      <c r="H40" s="71">
        <f>E40+F40+G40</f>
        <v/>
      </c>
      <c r="I40" s="71">
        <f>'Adigai G'!I12</f>
        <v/>
      </c>
      <c r="J40" s="71">
        <f>H40-I40</f>
        <v/>
      </c>
      <c r="K40" s="70" t="n">
        <v>0</v>
      </c>
      <c r="L40" s="70" t="n">
        <v>2</v>
      </c>
    </row>
    <row r="41" ht="15" customHeight="1" s="66">
      <c r="A41" s="70" t="n">
        <v>38</v>
      </c>
      <c r="B41" s="70" t="inlineStr">
        <is>
          <t>Komal Saraogi</t>
        </is>
      </c>
      <c r="C41" s="70" t="inlineStr">
        <is>
          <t>07/12/2026</t>
        </is>
      </c>
      <c r="D41" s="70" t="inlineStr">
        <is>
          <t>Cystoscopy — LA/Self</t>
        </is>
      </c>
      <c r="E41" s="71">
        <f>'Komal Saraogi'!G12</f>
        <v/>
      </c>
      <c r="F41" s="71">
        <f>SUM('Komal Saraogi'!G15:G15)</f>
        <v/>
      </c>
      <c r="G41" s="71">
        <f>SUM('Komal Saraogi'!G18:G18)</f>
        <v/>
      </c>
      <c r="H41" s="71">
        <f>E41+F41+G41</f>
        <v/>
      </c>
      <c r="I41" s="71">
        <f>'Komal Saraogi'!I12</f>
        <v/>
      </c>
      <c r="J41" s="71">
        <f>H41-I41</f>
        <v/>
      </c>
      <c r="K41" s="70" t="n">
        <v>0</v>
      </c>
      <c r="L41" s="70" t="n">
        <v>3</v>
      </c>
    </row>
    <row r="42" ht="15" customHeight="1" s="66">
      <c r="A42" s="70" t="n">
        <v>39</v>
      </c>
      <c r="B42" s="70" t="inlineStr">
        <is>
          <t>Seema Mondal</t>
        </is>
      </c>
      <c r="C42" s="70" t="inlineStr">
        <is>
          <t>07/11/2026</t>
        </is>
      </c>
      <c r="D42" s="70" t="inlineStr">
        <is>
          <t>Cystoscopy — LA/Self</t>
        </is>
      </c>
      <c r="E42" s="71">
        <f>'Seema Mondal'!G11</f>
        <v/>
      </c>
      <c r="F42" s="71">
        <f>SUM('Seema Mondal'!G14:G14)</f>
        <v/>
      </c>
      <c r="G42" s="71">
        <f>SUM('Seema Mondal'!G17:G17)</f>
        <v/>
      </c>
      <c r="H42" s="71">
        <f>E42+F42+G42</f>
        <v/>
      </c>
      <c r="I42" s="71">
        <f>'Seema Mondal'!I11</f>
        <v/>
      </c>
      <c r="J42" s="71">
        <f>H42-I42</f>
        <v/>
      </c>
      <c r="K42" s="70" t="n">
        <v>0</v>
      </c>
      <c r="L42" s="70" t="n">
        <v>3</v>
      </c>
    </row>
    <row r="43" ht="15" customHeight="1" s="66">
      <c r="A43" s="70" t="n">
        <v>40</v>
      </c>
      <c r="B43" s="70" t="inlineStr">
        <is>
          <t>Ripu Sundar Sarkar</t>
        </is>
      </c>
      <c r="C43" s="70" t="inlineStr">
        <is>
          <t>06/09/2026</t>
        </is>
      </c>
      <c r="D43" s="70" t="inlineStr">
        <is>
          <t>Cystoscopy — LA/Self</t>
        </is>
      </c>
      <c r="E43" s="71">
        <f>'Ripu Sundar Sarkar'!G12</f>
        <v/>
      </c>
      <c r="F43" s="71">
        <f>SUM('Ripu Sundar Sarkar'!G15:G15)</f>
        <v/>
      </c>
      <c r="G43" s="71">
        <f>SUM('Ripu Sundar Sarkar'!G18:G18)</f>
        <v/>
      </c>
      <c r="H43" s="71">
        <f>E43+F43+G43</f>
        <v/>
      </c>
      <c r="I43" s="71">
        <f>'Ripu Sundar Sarkar'!I12</f>
        <v/>
      </c>
      <c r="J43" s="71">
        <f>H43-I43</f>
        <v/>
      </c>
      <c r="K43" s="70" t="n">
        <v>0</v>
      </c>
      <c r="L43" s="70" t="n">
        <v>2</v>
      </c>
    </row>
    <row r="44" ht="15" customHeight="1" s="66">
      <c r="A44" s="70" t="n">
        <v>41</v>
      </c>
      <c r="B44" s="70" t="inlineStr">
        <is>
          <t>Prabir Kumar Paul</t>
        </is>
      </c>
      <c r="C44" s="70" t="inlineStr">
        <is>
          <t>02/06/2026</t>
        </is>
      </c>
      <c r="D44" s="70" t="inlineStr">
        <is>
          <t>Excision Biopsy</t>
        </is>
      </c>
      <c r="E44" s="71">
        <f>'Prabir Kumar Paul'!G23</f>
        <v/>
      </c>
      <c r="F44" s="71">
        <f>SUM('Prabir Kumar Paul'!G26:G26)</f>
        <v/>
      </c>
      <c r="G44" s="71">
        <f>SUM('Prabir Kumar Paul'!G29:G29)</f>
        <v/>
      </c>
      <c r="H44" s="71">
        <f>E44+F44+G44</f>
        <v/>
      </c>
      <c r="I44" s="71">
        <f>'Prabir Kumar Paul'!I23</f>
        <v/>
      </c>
      <c r="J44" s="71">
        <f>H44-I44</f>
        <v/>
      </c>
      <c r="K44" s="70" t="n">
        <v>1</v>
      </c>
      <c r="L44" s="70" t="n">
        <v>2</v>
      </c>
    </row>
    <row r="45" ht="15" customHeight="1" s="66">
      <c r="A45" s="70" t="n">
        <v>42</v>
      </c>
      <c r="B45" s="70" t="inlineStr">
        <is>
          <t>Sopna</t>
        </is>
      </c>
      <c r="C45" s="70" t="inlineStr">
        <is>
          <t>08/06/2026</t>
        </is>
      </c>
      <c r="D45" s="70" t="inlineStr">
        <is>
          <t>PIRS Spine Surgery</t>
        </is>
      </c>
      <c r="E45" s="71">
        <f>Sopna!G37</f>
        <v/>
      </c>
      <c r="F45" s="71">
        <f>SUM(Sopna!G40:G40)</f>
        <v/>
      </c>
      <c r="G45" s="71">
        <f>SUM(Sopna!G43:G43)</f>
        <v/>
      </c>
      <c r="H45" s="71">
        <f>E45+F45+G45</f>
        <v/>
      </c>
      <c r="I45" s="71">
        <f>Sopna!I37</f>
        <v/>
      </c>
      <c r="J45" s="71">
        <f>H45-I45</f>
        <v/>
      </c>
      <c r="K45" s="70" t="n">
        <v>1</v>
      </c>
      <c r="L45" s="70" t="n">
        <v>7</v>
      </c>
    </row>
    <row r="46" ht="15" customHeight="1" s="66">
      <c r="A46" s="70" t="n">
        <v>43</v>
      </c>
      <c r="B46" s="70" t="inlineStr">
        <is>
          <t>MADANMOHAN BHOWMIK</t>
        </is>
      </c>
      <c r="C46" s="70" t="inlineStr">
        <is>
          <t>17/07/2026</t>
        </is>
      </c>
      <c r="D46" s="70" t="inlineStr">
        <is>
          <t>TURP — Spinal Anaesthesia</t>
        </is>
      </c>
      <c r="E46" s="71">
        <f>'MADANMOHAN BHOWMIK'!G50</f>
        <v/>
      </c>
      <c r="F46" s="71">
        <f>SUM('MADANMOHAN BHOWMIK'!G53:G53)</f>
        <v/>
      </c>
      <c r="G46" s="71">
        <f>SUM('MADANMOHAN BHOWMIK'!G56:G56)</f>
        <v/>
      </c>
      <c r="H46" s="71">
        <f>E46+F46+G46</f>
        <v/>
      </c>
      <c r="I46" s="71">
        <f>'MADANMOHAN BHOWMIK'!I50</f>
        <v/>
      </c>
      <c r="J46" s="71">
        <f>H46-I46</f>
        <v/>
      </c>
      <c r="K46" s="70" t="n">
        <v>1</v>
      </c>
      <c r="L46" s="70" t="n">
        <v>11</v>
      </c>
    </row>
    <row r="47" ht="15" customHeight="1" s="66">
      <c r="A47" s="72" t="inlineStr">
        <is>
          <t>GRAND TOTAL — 43 patients</t>
        </is>
      </c>
      <c r="E47" s="73">
        <f>SUM(E4:E46)</f>
        <v/>
      </c>
      <c r="F47" s="73">
        <f>SUM(F4:F46)</f>
        <v/>
      </c>
      <c r="G47" s="73">
        <f>SUM(G4:G46)</f>
        <v/>
      </c>
      <c r="H47" s="73">
        <f>SUM(H4:H46)</f>
        <v/>
      </c>
      <c r="I47" s="73">
        <f>SUM(I4:I46)</f>
        <v/>
      </c>
      <c r="J47" s="73">
        <f>SUM(J4:J46)</f>
        <v/>
      </c>
      <c r="K47" s="74" t="n"/>
      <c r="L47" s="74" t="n"/>
    </row>
  </sheetData>
  <mergeCells count="3">
    <mergeCell ref="A47:D47"/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9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65" min="1" max="1"/>
    <col width="12" customWidth="1" style="65" min="2" max="3"/>
    <col width="14" customWidth="1" style="65" min="4" max="5"/>
  </cols>
  <sheetData>
    <row r="1" ht="15" customHeight="1" s="66">
      <c r="A1" s="75" t="inlineStr">
        <is>
          <t>ITEMS NEEDING MANUAL PRICE (not found in master / flagged for verify)</t>
        </is>
      </c>
    </row>
    <row r="3" ht="15" customHeight="1" s="66">
      <c r="A3" s="76" t="inlineStr">
        <is>
          <t>Item (distinct)</t>
        </is>
      </c>
      <c r="B3" s="76" t="inlineStr">
        <is>
          <t>Total Qty</t>
        </is>
      </c>
      <c r="C3" s="76" t="inlineStr">
        <is>
          <t># Patients</t>
        </is>
      </c>
      <c r="D3" s="76" t="inlineStr">
        <is>
          <t>MRP/Unit (enter)</t>
        </is>
      </c>
      <c r="E3" s="76" t="inlineStr">
        <is>
          <t>Cost/Unit (enter)</t>
        </is>
      </c>
    </row>
    <row r="4" ht="15" customHeight="1" s="66">
      <c r="A4" s="70" t="inlineStr">
        <is>
          <t>Gauze Pieces</t>
        </is>
      </c>
      <c r="B4" s="70" t="n">
        <v>260</v>
      </c>
      <c r="C4" s="70" t="n">
        <v>17</v>
      </c>
      <c r="D4" s="77" t="n">
        <v>14</v>
      </c>
      <c r="E4" s="77" t="n">
        <v>5.46</v>
      </c>
    </row>
    <row r="5" ht="15" customHeight="1" s="66">
      <c r="A5" s="70" t="inlineStr">
        <is>
          <t>Cap + Mask</t>
        </is>
      </c>
      <c r="B5" s="70" t="n">
        <v>43</v>
      </c>
      <c r="C5" s="70" t="n">
        <v>13</v>
      </c>
      <c r="D5" s="77" t="n">
        <v>25</v>
      </c>
      <c r="E5" s="77" t="n"/>
    </row>
    <row r="6" ht="15" customHeight="1" s="66">
      <c r="A6" s="70" t="inlineStr">
        <is>
          <t>Suture Ethilon 2-0 (SN3336)</t>
        </is>
      </c>
      <c r="B6" s="70" t="n">
        <v>10</v>
      </c>
      <c r="C6" s="70" t="n">
        <v>8</v>
      </c>
      <c r="D6" s="77" t="n">
        <v>277</v>
      </c>
      <c r="E6" s="77" t="n">
        <v>49.52</v>
      </c>
    </row>
    <row r="7" ht="15" customHeight="1" s="66">
      <c r="A7" s="70" t="inlineStr">
        <is>
          <t>CBG Blood Glucose Test</t>
        </is>
      </c>
      <c r="B7" s="70" t="n">
        <v>10</v>
      </c>
      <c r="C7" s="70" t="n">
        <v>7</v>
      </c>
      <c r="D7" s="77" t="n">
        <v>785</v>
      </c>
      <c r="E7" s="77" t="n"/>
    </row>
    <row r="8" ht="15" customHeight="1" s="66">
      <c r="A8" s="70" t="inlineStr">
        <is>
          <t>Needles 18G</t>
        </is>
      </c>
      <c r="B8" s="70" t="n">
        <v>12</v>
      </c>
      <c r="C8" s="70" t="n">
        <v>6</v>
      </c>
      <c r="D8" s="77" t="n">
        <v>3.38</v>
      </c>
      <c r="E8" s="77" t="n"/>
    </row>
    <row r="9" ht="15" customHeight="1" s="66">
      <c r="A9" s="70" t="inlineStr">
        <is>
          <t>Surgical Blade No. 20</t>
        </is>
      </c>
      <c r="B9" s="70" t="n">
        <v>5</v>
      </c>
      <c r="C9" s="70" t="n">
        <v>5</v>
      </c>
      <c r="D9" s="77" t="n">
        <v>7.1</v>
      </c>
      <c r="E9" s="77" t="n"/>
    </row>
    <row r="10" ht="15" customHeight="1" s="66">
      <c r="A10" s="70" t="inlineStr">
        <is>
          <t>2% Xylocaine Jelly</t>
        </is>
      </c>
      <c r="B10" s="70" t="n">
        <v>6</v>
      </c>
      <c r="C10" s="70" t="n">
        <v>5</v>
      </c>
      <c r="D10" s="77" t="n">
        <v>34.58</v>
      </c>
      <c r="E10" s="77" t="n">
        <v>27</v>
      </c>
    </row>
    <row r="11" ht="15" customHeight="1" s="66">
      <c r="A11" s="70" t="inlineStr">
        <is>
          <t>Suture Vicryl VP2421 (1-0)</t>
        </is>
      </c>
      <c r="B11" s="70" t="n">
        <v>5</v>
      </c>
      <c r="C11" s="70" t="n">
        <v>4</v>
      </c>
      <c r="D11" s="77" t="n">
        <v>1171</v>
      </c>
      <c r="E11" s="77" t="n">
        <v>644.17</v>
      </c>
    </row>
    <row r="12" ht="15" customHeight="1" s="66">
      <c r="A12" s="70" t="inlineStr">
        <is>
          <t>Sterilium 50ml</t>
        </is>
      </c>
      <c r="B12" s="70" t="n">
        <v>4</v>
      </c>
      <c r="C12" s="70" t="n">
        <v>4</v>
      </c>
      <c r="D12" s="77" t="n">
        <v>150</v>
      </c>
      <c r="E12" s="77" t="n">
        <v>38.1</v>
      </c>
    </row>
    <row r="13" ht="15" customHeight="1" s="66">
      <c r="A13" s="70" t="inlineStr">
        <is>
          <t>Cap + Mask (Disposable Set)</t>
        </is>
      </c>
      <c r="B13" s="70" t="n">
        <v>12</v>
      </c>
      <c r="C13" s="70" t="n">
        <v>3</v>
      </c>
      <c r="D13" s="77" t="n">
        <v>25</v>
      </c>
      <c r="E13" s="77" t="n"/>
    </row>
    <row r="14" ht="15" customHeight="1" s="66">
      <c r="A14" s="70" t="inlineStr">
        <is>
          <t>Inj. Glycopyrrolate 1ml</t>
        </is>
      </c>
      <c r="B14" s="70" t="n">
        <v>3</v>
      </c>
      <c r="C14" s="70" t="n">
        <v>3</v>
      </c>
      <c r="D14" s="77" t="n">
        <v>15.37</v>
      </c>
      <c r="E14" s="77" t="n">
        <v>11.24</v>
      </c>
    </row>
    <row r="15" ht="15" customHeight="1" s="66">
      <c r="A15" s="70" t="inlineStr">
        <is>
          <t>Inj. Dynapar AQ (Diclofenac)</t>
        </is>
      </c>
      <c r="B15" s="70" t="n">
        <v>5</v>
      </c>
      <c r="C15" s="70" t="n">
        <v>3</v>
      </c>
      <c r="D15" s="77" t="n">
        <v>23.8</v>
      </c>
      <c r="E15" s="77" t="n">
        <v>8.57</v>
      </c>
    </row>
    <row r="16" ht="15" customHeight="1" s="66">
      <c r="A16" s="70" t="inlineStr">
        <is>
          <t>Needle 2cc</t>
        </is>
      </c>
      <c r="B16" s="70" t="n">
        <v>3</v>
      </c>
      <c r="C16" s="70" t="n">
        <v>3</v>
      </c>
      <c r="D16" s="77" t="n">
        <v>6.04</v>
      </c>
      <c r="E16" s="77" t="n">
        <v>1.9</v>
      </c>
    </row>
    <row r="17" ht="15" customHeight="1" s="66">
      <c r="A17" s="70" t="inlineStr">
        <is>
          <t>Diathermy Pencil (New)</t>
        </is>
      </c>
      <c r="B17" s="70" t="n">
        <v>2</v>
      </c>
      <c r="C17" s="70" t="n">
        <v>2</v>
      </c>
      <c r="D17" s="77" t="n">
        <v>1000</v>
      </c>
      <c r="E17" s="77" t="n"/>
    </row>
    <row r="18" ht="15" customHeight="1" s="66">
      <c r="A18" s="70" t="inlineStr">
        <is>
          <t>Surgical Blade 24 No.</t>
        </is>
      </c>
      <c r="B18" s="70" t="n">
        <v>2</v>
      </c>
      <c r="C18" s="70" t="n">
        <v>2</v>
      </c>
      <c r="D18" s="77" t="n">
        <v>7.5</v>
      </c>
      <c r="E18" s="77" t="n"/>
    </row>
    <row r="19" ht="15" customHeight="1" s="66">
      <c r="A19" s="70" t="inlineStr">
        <is>
          <t>Needle 16G</t>
        </is>
      </c>
      <c r="B19" s="70" t="n">
        <v>3</v>
      </c>
      <c r="C19" s="70" t="n">
        <v>2</v>
      </c>
      <c r="D19" s="77" t="n">
        <v>3.38</v>
      </c>
      <c r="E19" s="77" t="n"/>
    </row>
    <row r="20" ht="15" customHeight="1" s="66">
      <c r="A20" s="70" t="inlineStr">
        <is>
          <t>Inj. Propofol 10ml</t>
        </is>
      </c>
      <c r="B20" s="70" t="n">
        <v>5</v>
      </c>
      <c r="C20" s="70" t="n">
        <v>2</v>
      </c>
      <c r="D20" s="77" t="n">
        <v>72.2</v>
      </c>
      <c r="E20" s="77" t="n">
        <v>50.54</v>
      </c>
    </row>
    <row r="21" ht="15" customHeight="1" s="66">
      <c r="A21" s="70" t="inlineStr">
        <is>
          <t>Gamze Roll</t>
        </is>
      </c>
      <c r="B21" s="70" t="n">
        <v>2</v>
      </c>
      <c r="C21" s="70" t="n">
        <v>2</v>
      </c>
      <c r="D21" s="77" t="n">
        <v>250</v>
      </c>
      <c r="E21" s="77" t="n">
        <v>80</v>
      </c>
    </row>
    <row r="22" ht="15" customHeight="1" s="66">
      <c r="A22" s="70" t="inlineStr">
        <is>
          <t>Surgical Blade No. 10</t>
        </is>
      </c>
      <c r="B22" s="70" t="n">
        <v>2</v>
      </c>
      <c r="C22" s="70" t="n">
        <v>2</v>
      </c>
      <c r="D22" s="77" t="n">
        <v>7.5</v>
      </c>
      <c r="E22" s="77" t="n"/>
    </row>
    <row r="23" ht="15" customHeight="1" s="66">
      <c r="A23" s="70" t="inlineStr">
        <is>
          <t>Inj. Tramadol 2ml</t>
        </is>
      </c>
      <c r="B23" s="70" t="n">
        <v>3</v>
      </c>
      <c r="C23" s="70" t="n">
        <v>2</v>
      </c>
      <c r="D23" s="77" t="n">
        <v>12.56</v>
      </c>
      <c r="E23" s="77" t="n">
        <v>4.76</v>
      </c>
    </row>
    <row r="24" ht="15" customHeight="1" s="66">
      <c r="A24" s="70" t="inlineStr">
        <is>
          <t>Inj. Meropenem 1g (Pem)</t>
        </is>
      </c>
      <c r="B24" s="70" t="n">
        <v>4</v>
      </c>
      <c r="C24" s="70" t="n">
        <v>2</v>
      </c>
      <c r="D24" s="77" t="n">
        <v>1085</v>
      </c>
      <c r="E24" s="77" t="n"/>
    </row>
    <row r="25" ht="15" customHeight="1" s="66">
      <c r="A25" s="70" t="inlineStr">
        <is>
          <t>Inj. Tramadol</t>
        </is>
      </c>
      <c r="B25" s="70" t="n">
        <v>6</v>
      </c>
      <c r="C25" s="70" t="n">
        <v>2</v>
      </c>
      <c r="D25" s="77" t="n">
        <v>12.56</v>
      </c>
      <c r="E25" s="77" t="n">
        <v>4.76</v>
      </c>
    </row>
    <row r="26" ht="15" customHeight="1" s="66">
      <c r="A26" s="70" t="inlineStr">
        <is>
          <t>Surgical Blade No. 11</t>
        </is>
      </c>
      <c r="B26" s="70" t="n">
        <v>3</v>
      </c>
      <c r="C26" s="70" t="n">
        <v>2</v>
      </c>
      <c r="D26" s="77" t="n">
        <v>7.5</v>
      </c>
      <c r="E26" s="77" t="n"/>
    </row>
    <row r="27" ht="15" customHeight="1" s="66">
      <c r="A27" s="70" t="inlineStr">
        <is>
          <t>Sterilium 150ml</t>
        </is>
      </c>
      <c r="B27" s="70" t="n">
        <v>2</v>
      </c>
      <c r="C27" s="70" t="n">
        <v>2</v>
      </c>
      <c r="D27" s="77" t="n">
        <v>150</v>
      </c>
      <c r="E27" s="77" t="n">
        <v>38.1</v>
      </c>
    </row>
    <row r="28" ht="15" customHeight="1" s="66">
      <c r="A28" s="70" t="inlineStr">
        <is>
          <t>Sterilium 25ml</t>
        </is>
      </c>
      <c r="B28" s="70" t="n">
        <v>2</v>
      </c>
      <c r="C28" s="70" t="n">
        <v>2</v>
      </c>
      <c r="D28" s="77" t="n">
        <v>150</v>
      </c>
      <c r="E28" s="77" t="n">
        <v>38.1</v>
      </c>
    </row>
    <row r="29" ht="15" customHeight="1" s="66">
      <c r="A29" s="70" t="inlineStr">
        <is>
          <t>Tab. PCM 650mg — 1 Strip</t>
        </is>
      </c>
      <c r="B29" s="70" t="n">
        <v>2</v>
      </c>
      <c r="C29" s="70" t="n">
        <v>2</v>
      </c>
      <c r="D29" s="77" t="n"/>
      <c r="E29" s="77" t="n"/>
    </row>
    <row r="30" ht="15" customHeight="1" s="66">
      <c r="A30" s="70" t="inlineStr">
        <is>
          <t>Gauze Pieces (Sterile)</t>
        </is>
      </c>
      <c r="B30" s="70" t="n">
        <v>10</v>
      </c>
      <c r="C30" s="70" t="n">
        <v>1</v>
      </c>
      <c r="D30" s="77" t="n">
        <v>14</v>
      </c>
      <c r="E30" s="77" t="n">
        <v>5.46</v>
      </c>
    </row>
    <row r="31" ht="15" customHeight="1" s="66">
      <c r="A31" s="70" t="inlineStr">
        <is>
          <t>Sterilium 100ml</t>
        </is>
      </c>
      <c r="B31" s="70" t="n">
        <v>2</v>
      </c>
      <c r="C31" s="70" t="n">
        <v>1</v>
      </c>
      <c r="D31" s="77" t="n">
        <v>150</v>
      </c>
      <c r="E31" s="77" t="n">
        <v>38.1</v>
      </c>
    </row>
    <row r="32" ht="15" customHeight="1" s="66">
      <c r="A32" s="70" t="inlineStr">
        <is>
          <t>Naphacinical</t>
        </is>
      </c>
      <c r="B32" s="70" t="n">
        <v>1</v>
      </c>
      <c r="C32" s="70" t="n">
        <v>1</v>
      </c>
      <c r="D32" s="77" t="n"/>
      <c r="E32" s="77" t="n"/>
    </row>
    <row r="33" ht="15" customHeight="1" s="66">
      <c r="A33" s="70" t="inlineStr">
        <is>
          <t>Conts 50</t>
        </is>
      </c>
      <c r="B33" s="70" t="n">
        <v>1</v>
      </c>
      <c r="C33" s="70" t="n">
        <v>1</v>
      </c>
      <c r="D33" s="77" t="n"/>
      <c r="E33" s="77" t="n"/>
    </row>
    <row r="34" ht="15" customHeight="1" s="66">
      <c r="A34" s="70" t="inlineStr">
        <is>
          <t>Surgical Blade 10 No.</t>
        </is>
      </c>
      <c r="B34" s="70" t="n">
        <v>1</v>
      </c>
      <c r="C34" s="70" t="n">
        <v>1</v>
      </c>
      <c r="D34" s="77" t="n">
        <v>7.5</v>
      </c>
      <c r="E34" s="77" t="n"/>
    </row>
    <row r="35" ht="15" customHeight="1" s="66">
      <c r="A35" s="70" t="inlineStr">
        <is>
          <t>Inj. Actrapid (Insulin Regular)</t>
        </is>
      </c>
      <c r="B35" s="70" t="n">
        <v>1</v>
      </c>
      <c r="C35" s="70" t="n">
        <v>1</v>
      </c>
      <c r="D35" s="77" t="n">
        <v>177</v>
      </c>
      <c r="E35" s="77" t="n"/>
    </row>
    <row r="36" ht="15" customHeight="1" s="66">
      <c r="A36" s="70" t="inlineStr">
        <is>
          <t>Inj. Sumof / Cefoperazone 1g</t>
        </is>
      </c>
      <c r="B36" s="70" t="n">
        <v>5</v>
      </c>
      <c r="C36" s="70" t="n">
        <v>1</v>
      </c>
      <c r="D36" s="77" t="n"/>
      <c r="E36" s="77" t="n"/>
    </row>
    <row r="37" ht="15" customHeight="1" s="66">
      <c r="A37" s="70" t="inlineStr">
        <is>
          <t>Inj. Tramadol 50mg</t>
        </is>
      </c>
      <c r="B37" s="70" t="n">
        <v>4</v>
      </c>
      <c r="C37" s="70" t="n">
        <v>1</v>
      </c>
      <c r="D37" s="77" t="n">
        <v>12.56</v>
      </c>
      <c r="E37" s="77" t="n">
        <v>4.76</v>
      </c>
    </row>
    <row r="38" ht="15" customHeight="1" s="66">
      <c r="A38" s="70" t="inlineStr">
        <is>
          <t>Inj. Diclofenac AQ</t>
        </is>
      </c>
      <c r="B38" s="70" t="n">
        <v>1</v>
      </c>
      <c r="C38" s="70" t="n">
        <v>1</v>
      </c>
      <c r="D38" s="77" t="n">
        <v>23.8</v>
      </c>
      <c r="E38" s="77" t="n">
        <v>8.57</v>
      </c>
    </row>
    <row r="39" ht="15" customHeight="1" s="66">
      <c r="A39" s="70" t="inlineStr">
        <is>
          <t>Sterile Gauze — 4 Packets</t>
        </is>
      </c>
      <c r="B39" s="70" t="n">
        <v>4</v>
      </c>
      <c r="C39" s="70" t="n">
        <v>1</v>
      </c>
      <c r="D39" s="77" t="n">
        <v>14</v>
      </c>
      <c r="E39" s="77" t="n">
        <v>5.46</v>
      </c>
    </row>
    <row r="40" ht="15" customHeight="1" s="66">
      <c r="A40" s="70" t="inlineStr">
        <is>
          <t>Sterile Gauze — 2 Packets</t>
        </is>
      </c>
      <c r="B40" s="70" t="n">
        <v>2</v>
      </c>
      <c r="C40" s="70" t="n">
        <v>1</v>
      </c>
      <c r="D40" s="77" t="n">
        <v>14</v>
      </c>
      <c r="E40" s="77" t="n">
        <v>5.46</v>
      </c>
    </row>
    <row r="41" ht="15" customHeight="1" s="66">
      <c r="A41" s="70" t="inlineStr">
        <is>
          <t>Surgical Blade No. 24</t>
        </is>
      </c>
      <c r="B41" s="70" t="n">
        <v>1</v>
      </c>
      <c r="C41" s="70" t="n">
        <v>1</v>
      </c>
      <c r="D41" s="77" t="n">
        <v>7.5</v>
      </c>
      <c r="E41" s="77" t="n"/>
    </row>
    <row r="42" ht="15" customHeight="1" s="66">
      <c r="A42" s="70" t="inlineStr">
        <is>
          <t>Surgical Blade</t>
        </is>
      </c>
      <c r="B42" s="70" t="n">
        <v>1</v>
      </c>
      <c r="C42" s="70" t="n">
        <v>1</v>
      </c>
      <c r="D42" s="77" t="n">
        <v>7.5</v>
      </c>
      <c r="E42" s="77" t="n"/>
    </row>
    <row r="43" ht="15" customHeight="1" s="66">
      <c r="A43" s="70" t="inlineStr">
        <is>
          <t>Inj. Glycopyrrolate</t>
        </is>
      </c>
      <c r="B43" s="70" t="n">
        <v>1</v>
      </c>
      <c r="C43" s="70" t="n">
        <v>1</v>
      </c>
      <c r="D43" s="77" t="n">
        <v>15.37</v>
      </c>
      <c r="E43" s="77" t="n">
        <v>11.24</v>
      </c>
    </row>
    <row r="44" ht="15" customHeight="1" s="66">
      <c r="A44" s="70" t="inlineStr">
        <is>
          <t>Vicryl No 1 2421</t>
        </is>
      </c>
      <c r="B44" s="70" t="n">
        <v>1</v>
      </c>
      <c r="C44" s="70" t="n">
        <v>1</v>
      </c>
      <c r="D44" s="77" t="n">
        <v>1171</v>
      </c>
      <c r="E44" s="77" t="n">
        <v>644.17</v>
      </c>
    </row>
    <row r="45" ht="15" customHeight="1" s="66">
      <c r="A45" s="70" t="inlineStr">
        <is>
          <t>Inj. Pen (unconfirmed drug)</t>
        </is>
      </c>
      <c r="B45" s="70" t="n">
        <v>3</v>
      </c>
      <c r="C45" s="70" t="n">
        <v>1</v>
      </c>
      <c r="D45" s="77" t="n"/>
      <c r="E45" s="77" t="n"/>
    </row>
    <row r="46" ht="15" customHeight="1" s="66">
      <c r="A46" s="70" t="inlineStr">
        <is>
          <t>CBC Check</t>
        </is>
      </c>
      <c r="B46" s="70" t="n">
        <v>1</v>
      </c>
      <c r="C46" s="70" t="n">
        <v>1</v>
      </c>
      <c r="D46" s="77" t="n">
        <v>785</v>
      </c>
      <c r="E46" s="77" t="n"/>
    </row>
    <row r="47" ht="15" customHeight="1" s="66">
      <c r="A47" s="70" t="inlineStr">
        <is>
          <t>Inj. Diclofenac</t>
        </is>
      </c>
      <c r="B47" s="70" t="n">
        <v>1</v>
      </c>
      <c r="C47" s="70" t="n">
        <v>1</v>
      </c>
      <c r="D47" s="77" t="n">
        <v>23.8</v>
      </c>
      <c r="E47" s="77" t="n">
        <v>8.57</v>
      </c>
    </row>
    <row r="48" ht="15" customHeight="1" s="66">
      <c r="A48" s="70" t="inlineStr">
        <is>
          <t>Gauze (Clean Up)</t>
        </is>
      </c>
      <c r="B48" s="70" t="n">
        <v>40</v>
      </c>
      <c r="C48" s="70" t="n">
        <v>1</v>
      </c>
      <c r="D48" s="77" t="n">
        <v>14</v>
      </c>
      <c r="E48" s="77" t="n">
        <v>5.46</v>
      </c>
    </row>
    <row r="49" ht="15" customHeight="1" s="66">
      <c r="A49" s="70" t="inlineStr">
        <is>
          <t>Inj. GTN (Glyceryl Trinitrate)</t>
        </is>
      </c>
      <c r="B49" s="70" t="n">
        <v>1</v>
      </c>
      <c r="C49" s="70" t="n">
        <v>1</v>
      </c>
      <c r="D49" s="77" t="n">
        <v>34.6</v>
      </c>
      <c r="E49" s="77" t="n"/>
    </row>
    <row r="50" ht="15" customHeight="1" s="66">
      <c r="A50" s="70" t="inlineStr">
        <is>
          <t>Inj. Adrenaline 1ml</t>
        </is>
      </c>
      <c r="B50" s="70" t="n">
        <v>1</v>
      </c>
      <c r="C50" s="70" t="n">
        <v>1</v>
      </c>
      <c r="D50" s="77" t="n">
        <v>13.4</v>
      </c>
      <c r="E50" s="77" t="n"/>
    </row>
    <row r="51" ht="15" customHeight="1" s="66">
      <c r="A51" s="70" t="inlineStr">
        <is>
          <t>ECG Lead Wires</t>
        </is>
      </c>
      <c r="B51" s="70" t="n">
        <v>3</v>
      </c>
      <c r="C51" s="70" t="n">
        <v>1</v>
      </c>
      <c r="D51" s="77" t="n"/>
      <c r="E51" s="77" t="n"/>
    </row>
    <row r="52" ht="15" customHeight="1" s="66">
      <c r="A52" s="70" t="inlineStr">
        <is>
          <t>Lox 2% Jelly</t>
        </is>
      </c>
      <c r="B52" s="70" t="n">
        <v>1</v>
      </c>
      <c r="C52" s="70" t="n">
        <v>1</v>
      </c>
      <c r="D52" s="77" t="n">
        <v>34.58</v>
      </c>
      <c r="E52" s="77" t="n">
        <v>27</v>
      </c>
    </row>
    <row r="53" ht="15" customHeight="1" s="66">
      <c r="A53" s="70" t="inlineStr">
        <is>
          <t>Vaccu Suction</t>
        </is>
      </c>
      <c r="B53" s="70" t="n">
        <v>1</v>
      </c>
      <c r="C53" s="70" t="n">
        <v>1</v>
      </c>
      <c r="D53" s="77" t="n">
        <v>609</v>
      </c>
      <c r="E53" s="77" t="n">
        <v>64</v>
      </c>
    </row>
    <row r="54" ht="15" customHeight="1" s="66">
      <c r="A54" s="70" t="inlineStr">
        <is>
          <t>Inj. PCM IV</t>
        </is>
      </c>
      <c r="B54" s="70" t="n">
        <v>1</v>
      </c>
      <c r="C54" s="70" t="n">
        <v>1</v>
      </c>
      <c r="D54" s="77" t="n">
        <v>591.3</v>
      </c>
      <c r="E54" s="77" t="n">
        <v>33.33</v>
      </c>
    </row>
    <row r="55" ht="15" customHeight="1" s="66">
      <c r="A55" s="70" t="inlineStr">
        <is>
          <t>Needles</t>
        </is>
      </c>
      <c r="B55" s="70" t="n">
        <v>2</v>
      </c>
      <c r="C55" s="70" t="n">
        <v>1</v>
      </c>
      <c r="D55" s="77" t="n">
        <v>3.38</v>
      </c>
      <c r="E55" s="77" t="n"/>
    </row>
    <row r="56" ht="15" customHeight="1" s="66">
      <c r="A56" s="70" t="inlineStr">
        <is>
          <t>Mask</t>
        </is>
      </c>
      <c r="B56" s="70" t="n">
        <v>2</v>
      </c>
      <c r="C56" s="70" t="n">
        <v>1</v>
      </c>
      <c r="D56" s="77" t="n">
        <v>25</v>
      </c>
      <c r="E56" s="77" t="n"/>
    </row>
    <row r="57" ht="15" customHeight="1" s="66">
      <c r="A57" s="70" t="inlineStr">
        <is>
          <t>Inj. Labetalol</t>
        </is>
      </c>
      <c r="B57" s="70" t="n">
        <v>1</v>
      </c>
      <c r="C57" s="70" t="n">
        <v>1</v>
      </c>
      <c r="D57" s="77" t="n">
        <v>426</v>
      </c>
      <c r="E57" s="77" t="n"/>
    </row>
    <row r="58" ht="15" customHeight="1" s="66">
      <c r="A58" s="70" t="inlineStr">
        <is>
          <t>IV 3-Way 10cm</t>
        </is>
      </c>
      <c r="B58" s="70" t="n">
        <v>1</v>
      </c>
      <c r="C58" s="70" t="n">
        <v>1</v>
      </c>
      <c r="D58" s="77" t="n">
        <v>386</v>
      </c>
      <c r="E58" s="77" t="n"/>
    </row>
    <row r="59" ht="15" customHeight="1" s="66">
      <c r="A59" s="70" t="inlineStr">
        <is>
          <t>Inj. Tramazec 100mg</t>
        </is>
      </c>
      <c r="B59" s="70" t="n">
        <v>1</v>
      </c>
      <c r="C59" s="70" t="n">
        <v>1</v>
      </c>
      <c r="D59" s="77" t="n">
        <v>12.56</v>
      </c>
      <c r="E59" s="77" t="n">
        <v>4.76</v>
      </c>
    </row>
    <row r="60" ht="15" customHeight="1" s="66">
      <c r="A60" s="70" t="inlineStr">
        <is>
          <t>Inj. Nac Phin</t>
        </is>
      </c>
      <c r="B60" s="70" t="n">
        <v>1</v>
      </c>
      <c r="C60" s="70" t="n">
        <v>1</v>
      </c>
      <c r="D60" s="77" t="n"/>
      <c r="E60" s="77" t="n"/>
    </row>
    <row r="61" ht="15" customHeight="1" s="66">
      <c r="A61" s="70" t="inlineStr">
        <is>
          <t>Cap+ Mask</t>
        </is>
      </c>
      <c r="B61" s="70" t="n">
        <v>5</v>
      </c>
      <c r="C61" s="70" t="n">
        <v>1</v>
      </c>
      <c r="D61" s="77" t="n">
        <v>25</v>
      </c>
      <c r="E61" s="77" t="n"/>
    </row>
    <row r="62" ht="15" customHeight="1" s="66">
      <c r="A62" s="70" t="inlineStr">
        <is>
          <t>Inj. Sugammadex</t>
        </is>
      </c>
      <c r="B62" s="70" t="n">
        <v>1</v>
      </c>
      <c r="C62" s="70" t="n">
        <v>1</v>
      </c>
      <c r="D62" s="77" t="n">
        <v>831</v>
      </c>
      <c r="E62" s="77" t="n"/>
    </row>
    <row r="63" ht="15" customHeight="1" s="66">
      <c r="A63" s="70" t="inlineStr">
        <is>
          <t>Moli / Mackintosh Sheet</t>
        </is>
      </c>
      <c r="B63" s="70" t="n">
        <v>1</v>
      </c>
      <c r="C63" s="70" t="n">
        <v>1</v>
      </c>
      <c r="D63" s="77" t="n">
        <v>150</v>
      </c>
      <c r="E63" s="77" t="n">
        <v>105</v>
      </c>
    </row>
    <row r="64" ht="15" customHeight="1" s="66">
      <c r="A64" s="70" t="inlineStr">
        <is>
          <t>Inj. Sugammadex Reversee)</t>
        </is>
      </c>
      <c r="B64" s="70" t="n">
        <v>1</v>
      </c>
      <c r="C64" s="70" t="n">
        <v>1</v>
      </c>
      <c r="D64" s="77" t="n">
        <v>831</v>
      </c>
      <c r="E64" s="77" t="n"/>
    </row>
    <row r="65" ht="15" customHeight="1" s="66">
      <c r="A65" s="70" t="inlineStr">
        <is>
          <t>Inj. Scoline (Succinylcholine)</t>
        </is>
      </c>
      <c r="B65" s="70" t="n">
        <v>1</v>
      </c>
      <c r="C65" s="70" t="n">
        <v>1</v>
      </c>
      <c r="D65" s="77" t="n">
        <v>55.64</v>
      </c>
      <c r="E65" s="77" t="n"/>
    </row>
    <row r="66" ht="15" customHeight="1" s="66">
      <c r="A66" s="70" t="inlineStr">
        <is>
          <t>Inj. Propofol 20ml</t>
        </is>
      </c>
      <c r="B66" s="70" t="n">
        <v>1</v>
      </c>
      <c r="C66" s="70" t="n">
        <v>1</v>
      </c>
      <c r="D66" s="77" t="n">
        <v>145.5</v>
      </c>
      <c r="E66" s="77" t="n"/>
    </row>
    <row r="67" ht="15" customHeight="1" s="66">
      <c r="A67" s="70" t="inlineStr">
        <is>
          <t>Inj. Midizolam 3ml</t>
        </is>
      </c>
      <c r="B67" s="70" t="n">
        <v>1</v>
      </c>
      <c r="C67" s="70" t="n">
        <v>1</v>
      </c>
      <c r="D67" s="77" t="n">
        <v>31.03</v>
      </c>
      <c r="E67" s="77" t="n">
        <v>23.81</v>
      </c>
    </row>
    <row r="68" ht="15" customHeight="1" s="66">
      <c r="A68" s="70" t="inlineStr">
        <is>
          <t>Inj. Tramazac 1ml</t>
        </is>
      </c>
      <c r="B68" s="70" t="n">
        <v>1</v>
      </c>
      <c r="C68" s="70" t="n">
        <v>1</v>
      </c>
      <c r="D68" s="77" t="n">
        <v>12.56</v>
      </c>
      <c r="E68" s="77" t="n">
        <v>4.76</v>
      </c>
    </row>
    <row r="69" ht="15" customHeight="1" s="66">
      <c r="A69" s="70" t="inlineStr">
        <is>
          <t>Vicryl 2826 L</t>
        </is>
      </c>
      <c r="B69" s="70" t="n">
        <v>1</v>
      </c>
      <c r="C69" s="70" t="n">
        <v>1</v>
      </c>
      <c r="D69" s="77" t="n">
        <v>871</v>
      </c>
      <c r="E69" s="77" t="n">
        <v>479.17</v>
      </c>
    </row>
    <row r="70" ht="15" customHeight="1" s="66">
      <c r="A70" s="70" t="inlineStr">
        <is>
          <t>TURP / Irrigation Set</t>
        </is>
      </c>
      <c r="B70" s="70" t="n">
        <v>1</v>
      </c>
      <c r="C70" s="70" t="n">
        <v>1</v>
      </c>
      <c r="D70" s="77" t="n">
        <v>523</v>
      </c>
      <c r="E70" s="77" t="n">
        <v>107.95</v>
      </c>
    </row>
    <row r="71" ht="15" customHeight="1" s="66">
      <c r="A71" s="70" t="inlineStr">
        <is>
          <t>Lap Instruments — 1 Set</t>
        </is>
      </c>
      <c r="B71" s="70" t="n">
        <v>1</v>
      </c>
      <c r="C71" s="70" t="n">
        <v>1</v>
      </c>
      <c r="D71" s="77" t="n"/>
      <c r="E71" s="77" t="n"/>
    </row>
    <row r="72" ht="15" customHeight="1" s="66">
      <c r="A72" s="70" t="inlineStr">
        <is>
          <t>Jonac 100mg</t>
        </is>
      </c>
      <c r="B72" s="70" t="n">
        <v>1</v>
      </c>
      <c r="C72" s="70" t="n">
        <v>1</v>
      </c>
      <c r="D72" s="77" t="n">
        <v>40</v>
      </c>
      <c r="E72" s="77" t="n"/>
    </row>
    <row r="73" ht="15" customHeight="1" s="66">
      <c r="A73" s="70" t="inlineStr">
        <is>
          <t>Injection Tramadol</t>
        </is>
      </c>
      <c r="B73" s="70" t="n">
        <v>1</v>
      </c>
      <c r="C73" s="70" t="n">
        <v>1</v>
      </c>
      <c r="D73" s="77" t="n">
        <v>12.56</v>
      </c>
      <c r="E73" s="77" t="n">
        <v>4.76</v>
      </c>
    </row>
    <row r="74" ht="15" customHeight="1" s="66">
      <c r="A74" s="70" t="inlineStr">
        <is>
          <t>Needle 10cc</t>
        </is>
      </c>
      <c r="B74" s="70" t="n">
        <v>2</v>
      </c>
      <c r="C74" s="70" t="n">
        <v>1</v>
      </c>
      <c r="D74" s="77" t="n">
        <v>20</v>
      </c>
      <c r="E74" s="77" t="n">
        <v>3.76</v>
      </c>
    </row>
    <row r="75" ht="15" customHeight="1" s="66">
      <c r="A75" s="70" t="inlineStr">
        <is>
          <t>Catgut 3-0 4237</t>
        </is>
      </c>
      <c r="B75" s="70" t="n">
        <v>1</v>
      </c>
      <c r="C75" s="70" t="n">
        <v>1</v>
      </c>
      <c r="D75" s="77" t="n">
        <v>216</v>
      </c>
      <c r="E75" s="77" t="n">
        <v>57.14</v>
      </c>
    </row>
    <row r="76" ht="15" customHeight="1" s="66">
      <c r="A76" s="70" t="inlineStr">
        <is>
          <t>Inj Tramazac</t>
        </is>
      </c>
      <c r="B76" s="70" t="n">
        <v>2</v>
      </c>
      <c r="C76" s="70" t="n">
        <v>1</v>
      </c>
      <c r="D76" s="77" t="n">
        <v>12.56</v>
      </c>
      <c r="E76" s="77" t="n">
        <v>4.76</v>
      </c>
    </row>
    <row r="77" ht="15" customHeight="1" s="66">
      <c r="A77" s="70" t="inlineStr">
        <is>
          <t>Needles 2cc</t>
        </is>
      </c>
      <c r="B77" s="70" t="n">
        <v>2</v>
      </c>
      <c r="C77" s="70" t="n">
        <v>1</v>
      </c>
      <c r="D77" s="77" t="n">
        <v>6.04</v>
      </c>
      <c r="E77" s="77" t="n">
        <v>1.9</v>
      </c>
    </row>
    <row r="78" ht="15" customHeight="1" s="66">
      <c r="A78" s="70" t="inlineStr">
        <is>
          <t>Cap + Mask Set</t>
        </is>
      </c>
      <c r="B78" s="70" t="n">
        <v>4</v>
      </c>
      <c r="C78" s="70" t="n">
        <v>1</v>
      </c>
      <c r="D78" s="77" t="n">
        <v>25</v>
      </c>
      <c r="E78" s="77" t="n"/>
    </row>
    <row r="79" ht="15" customHeight="1" s="66">
      <c r="A79" s="70" t="inlineStr">
        <is>
          <t>Inj Pipzo</t>
        </is>
      </c>
      <c r="B79" s="70" t="n">
        <v>2</v>
      </c>
      <c r="C79" s="70" t="n">
        <v>1</v>
      </c>
      <c r="D79" s="77" t="n">
        <v>326.22</v>
      </c>
      <c r="E79" s="77" t="n">
        <v>95.23999999999999</v>
      </c>
    </row>
    <row r="80" ht="15" customHeight="1" s="66">
      <c r="A80" s="70" t="inlineStr">
        <is>
          <t>Syringle 10ml</t>
        </is>
      </c>
      <c r="B80" s="70" t="n">
        <v>2</v>
      </c>
      <c r="C80" s="70" t="n">
        <v>1</v>
      </c>
      <c r="D80" s="77" t="n">
        <v>20</v>
      </c>
      <c r="E80" s="77" t="n">
        <v>3.76</v>
      </c>
    </row>
    <row r="81" ht="15" customHeight="1" s="66">
      <c r="A81" s="70" t="inlineStr">
        <is>
          <t>Syringle 5ml</t>
        </is>
      </c>
      <c r="B81" s="70" t="n">
        <v>1</v>
      </c>
      <c r="C81" s="70" t="n">
        <v>1</v>
      </c>
      <c r="D81" s="77" t="n">
        <v>10.23</v>
      </c>
      <c r="E81" s="77" t="n">
        <v>2.38</v>
      </c>
    </row>
    <row r="82" ht="15" customHeight="1" s="66">
      <c r="A82" s="70" t="inlineStr">
        <is>
          <t>Tramadol</t>
        </is>
      </c>
      <c r="B82" s="70" t="n">
        <v>1</v>
      </c>
      <c r="C82" s="70" t="n">
        <v>1</v>
      </c>
      <c r="D82" s="77" t="n">
        <v>12.56</v>
      </c>
      <c r="E82" s="77" t="n">
        <v>4.76</v>
      </c>
    </row>
    <row r="83" ht="15" customHeight="1" s="66">
      <c r="A83" s="70" t="inlineStr">
        <is>
          <t>Needles 18G + 26G</t>
        </is>
      </c>
      <c r="B83" s="70" t="n">
        <v>3</v>
      </c>
      <c r="C83" s="70" t="n">
        <v>1</v>
      </c>
      <c r="D83" s="77" t="n">
        <v>3.38</v>
      </c>
      <c r="E83" s="77" t="n"/>
    </row>
    <row r="84" ht="15" customHeight="1" s="66">
      <c r="A84" s="70" t="inlineStr">
        <is>
          <t>Gauze — Sterile</t>
        </is>
      </c>
      <c r="B84" s="70" t="n">
        <v>15</v>
      </c>
      <c r="C84" s="70" t="n">
        <v>1</v>
      </c>
      <c r="D84" s="77" t="n">
        <v>14</v>
      </c>
      <c r="E84" s="77" t="n">
        <v>5.46</v>
      </c>
    </row>
    <row r="85" ht="15" customHeight="1" s="66">
      <c r="A85" s="70" t="inlineStr">
        <is>
          <t>Apron</t>
        </is>
      </c>
      <c r="B85" s="70" t="n">
        <v>1</v>
      </c>
      <c r="C85" s="70" t="n">
        <v>1</v>
      </c>
      <c r="D85" s="77" t="n">
        <v>208</v>
      </c>
      <c r="E85" s="77" t="n"/>
    </row>
    <row r="86" ht="15" customHeight="1" s="66">
      <c r="A86" s="70" t="inlineStr">
        <is>
          <t>Needle 26G</t>
        </is>
      </c>
      <c r="B86" s="70" t="n">
        <v>1</v>
      </c>
      <c r="C86" s="70" t="n">
        <v>1</v>
      </c>
      <c r="D86" s="77" t="n">
        <v>260</v>
      </c>
      <c r="E86" s="77" t="n"/>
    </row>
    <row r="87" ht="15" customHeight="1" s="66">
      <c r="A87" s="70" t="inlineStr">
        <is>
          <t>Inj. Tetanus Toxoid (T-Tet) 0.5ml</t>
        </is>
      </c>
      <c r="B87" s="70" t="n">
        <v>1</v>
      </c>
      <c r="C87" s="70" t="n">
        <v>1</v>
      </c>
      <c r="D87" s="77" t="n">
        <v>27.27</v>
      </c>
      <c r="E87" s="77" t="n"/>
    </row>
    <row r="88" ht="15" customHeight="1" s="66">
      <c r="A88" s="70" t="inlineStr">
        <is>
          <t>CBG Strip</t>
        </is>
      </c>
      <c r="B88" s="70" t="n">
        <v>14</v>
      </c>
      <c r="C88" s="70" t="n">
        <v>1</v>
      </c>
      <c r="D88" s="77" t="n">
        <v>785</v>
      </c>
      <c r="E88" s="77" t="n"/>
    </row>
    <row r="89" ht="15" customHeight="1" s="66">
      <c r="A89" s="70" t="inlineStr">
        <is>
          <t>Humainsulin</t>
        </is>
      </c>
      <c r="B89" s="70" t="n">
        <v>1</v>
      </c>
      <c r="C89" s="70" t="n">
        <v>1</v>
      </c>
      <c r="D89" s="77" t="n">
        <v>177</v>
      </c>
      <c r="E89" s="77" t="n"/>
    </row>
    <row r="90" ht="15" customHeight="1" s="66">
      <c r="A90" s="70" t="inlineStr">
        <is>
          <t>Inj. Pause 500mg (Tranexamic Acid)</t>
        </is>
      </c>
      <c r="B90" s="70" t="n">
        <v>2</v>
      </c>
      <c r="C90" s="70" t="n">
        <v>1</v>
      </c>
      <c r="D90" s="77" t="n">
        <v>71.97</v>
      </c>
      <c r="E90" s="77" t="n">
        <v>47.62</v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92D050"/>
    <outlinePr summaryBelow="1" summaryRight="1"/>
    <pageSetUpPr fitToPage="0"/>
  </sheetPr>
  <dimension ref="A1:J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17" activePane="bottomLeft" state="frozen"/>
      <selection pane="topLeft" activeCell="A1" activeCellId="0" sqref="A1"/>
      <selection pane="bottomLeft" activeCell="B27" activeCellId="0" sqref="B27"/>
    </sheetView>
  </sheetViews>
  <sheetFormatPr baseColWidth="8" defaultColWidth="8.6328125" defaultRowHeight="14.25" zeroHeight="0" outlineLevelRow="0"/>
  <cols>
    <col width="5" customWidth="1" style="65" min="1" max="1"/>
    <col width="30" customWidth="1" style="65" min="2" max="2"/>
    <col width="20" customWidth="1" style="65" min="3" max="3"/>
    <col width="9" customWidth="1" style="65" min="4" max="4"/>
    <col width="6" customWidth="1" style="65" min="5" max="5"/>
    <col width="14" customWidth="1" style="65" min="6" max="6"/>
    <col width="15" customWidth="1" style="65" min="7" max="7"/>
    <col width="14" customWidth="1" style="65" min="8" max="8"/>
    <col width="15" customWidth="1" style="65" min="9" max="9"/>
    <col width="22" customWidth="1" style="65" min="10" max="10"/>
  </cols>
  <sheetData>
    <row r="1" ht="21.75" customHeight="1" s="66">
      <c r="A1" s="78" t="inlineStr">
        <is>
          <t>BK ADITYA MULTISPECIALTY HOSPITAL — PATIENT BILL</t>
        </is>
      </c>
    </row>
    <row r="2" ht="18" customHeight="1" s="66">
      <c r="A2" s="79" t="inlineStr">
        <is>
          <t>Patient: Sahid Ali Joddar</t>
        </is>
      </c>
      <c r="E2" s="80" t="inlineStr">
        <is>
          <t>Doctor: Dr. S. Gupta</t>
        </is>
      </c>
      <c r="G2" s="80" t="inlineStr">
        <is>
          <t>Date: 17/04/2026</t>
        </is>
      </c>
      <c r="H2" s="80" t="inlineStr">
        <is>
          <t>Indent: 52</t>
        </is>
      </c>
      <c r="I2" s="80" t="inlineStr">
        <is>
          <t>Type: Ward</t>
        </is>
      </c>
    </row>
    <row r="3" ht="15" customHeight="1" s="66">
      <c r="A3" s="81" t="inlineStr">
        <is>
          <t xml:space="preserve">  SECTION A — CONSUMABLES &amp; MEDICINES</t>
        </is>
      </c>
    </row>
    <row r="4" ht="30" customHeight="1" s="66">
      <c r="A4" s="82" t="inlineStr">
        <is>
          <t>Sl</t>
        </is>
      </c>
      <c r="B4" s="82" t="inlineStr">
        <is>
          <t>Item Name</t>
        </is>
      </c>
      <c r="C4" s="82" t="inlineStr">
        <is>
          <t>Specification</t>
        </is>
      </c>
      <c r="D4" s="82" t="inlineStr">
        <is>
          <t>Unit</t>
        </is>
      </c>
      <c r="E4" s="82" t="inlineStr">
        <is>
          <t>Qty</t>
        </is>
      </c>
      <c r="F4" s="82" t="inlineStr">
        <is>
          <t>MRP/Unit (₹)</t>
        </is>
      </c>
      <c r="G4" s="82" t="inlineStr">
        <is>
          <t>Charge @MRP (₹)</t>
        </is>
      </c>
      <c r="H4" s="82" t="inlineStr">
        <is>
          <t>Cost/Unit (₹)</t>
        </is>
      </c>
      <c r="I4" s="82" t="inlineStr">
        <is>
          <t>Cost Total (₹)</t>
        </is>
      </c>
      <c r="J4" s="82" t="inlineStr">
        <is>
          <t>Source / Remarks</t>
        </is>
      </c>
    </row>
    <row r="5" ht="13.5" customHeight="1" s="66">
      <c r="A5" s="83" t="n">
        <v>1</v>
      </c>
      <c r="B5" s="84" t="inlineStr">
        <is>
          <t>Inj. Monocef 1gm</t>
        </is>
      </c>
      <c r="C5" s="84" t="inlineStr">
        <is>
          <t>Ceftriaxone 1g</t>
        </is>
      </c>
      <c r="D5" s="83" t="inlineStr">
        <is>
          <t>No.</t>
        </is>
      </c>
      <c r="E5" s="83" t="n">
        <v>1</v>
      </c>
      <c r="F5" s="85" t="n">
        <v>66.64</v>
      </c>
      <c r="G5" s="85" t="n">
        <v>66.64</v>
      </c>
      <c r="H5" s="85" t="n">
        <v>25.71</v>
      </c>
      <c r="I5" s="85" t="n">
        <v>25.71</v>
      </c>
      <c r="J5" s="84" t="inlineStr">
        <is>
          <t>SSB S000068</t>
        </is>
      </c>
    </row>
    <row r="6" ht="13.5" customHeight="1" s="66">
      <c r="A6" s="86" t="n">
        <v>2</v>
      </c>
      <c r="B6" s="87" t="inlineStr">
        <is>
          <t>Inj. Ondansetron 2ml</t>
        </is>
      </c>
      <c r="C6" s="87" t="inlineStr">
        <is>
          <t>Ondansetron</t>
        </is>
      </c>
      <c r="D6" s="86" t="inlineStr">
        <is>
          <t>No.</t>
        </is>
      </c>
      <c r="E6" s="86" t="n">
        <v>2</v>
      </c>
      <c r="F6" s="88" t="n">
        <v>12.72</v>
      </c>
      <c r="G6" s="88" t="n">
        <v>25.44</v>
      </c>
      <c r="H6" s="88" t="n">
        <v>4.85</v>
      </c>
      <c r="I6" s="88" t="n">
        <v>9.699999999999999</v>
      </c>
      <c r="J6" s="87" t="inlineStr">
        <is>
          <t>SSB S000068</t>
        </is>
      </c>
    </row>
    <row r="7" ht="13.5" customHeight="1" s="66">
      <c r="A7" s="83" t="n">
        <v>3</v>
      </c>
      <c r="B7" s="84" t="inlineStr">
        <is>
          <t>Inj. Rantac 2ml</t>
        </is>
      </c>
      <c r="C7" s="84" t="inlineStr">
        <is>
          <t>Ranitidine</t>
        </is>
      </c>
      <c r="D7" s="83" t="inlineStr">
        <is>
          <t>No.</t>
        </is>
      </c>
      <c r="E7" s="83" t="n">
        <v>2</v>
      </c>
      <c r="F7" s="85" t="n">
        <v>7.48</v>
      </c>
      <c r="G7" s="85" t="n">
        <v>14.96</v>
      </c>
      <c r="H7" s="85" t="n">
        <v>4.29</v>
      </c>
      <c r="I7" s="85" t="n">
        <v>8.58</v>
      </c>
      <c r="J7" s="84" t="inlineStr">
        <is>
          <t>SSB S000068</t>
        </is>
      </c>
    </row>
    <row r="8" ht="13.5" customHeight="1" s="66">
      <c r="A8" s="86" t="n">
        <v>4</v>
      </c>
      <c r="B8" s="87" t="inlineStr">
        <is>
          <t>5cc Syringe</t>
        </is>
      </c>
      <c r="C8" s="87" t="n"/>
      <c r="D8" s="86" t="inlineStr">
        <is>
          <t>No.</t>
        </is>
      </c>
      <c r="E8" s="86" t="n">
        <v>3</v>
      </c>
      <c r="F8" s="88" t="n">
        <v>10.23</v>
      </c>
      <c r="G8" s="88" t="n">
        <v>30.69</v>
      </c>
      <c r="H8" s="88" t="n">
        <v>2.38</v>
      </c>
      <c r="I8" s="88" t="n">
        <v>7.14</v>
      </c>
      <c r="J8" s="87" t="inlineStr">
        <is>
          <t>SSB S000069</t>
        </is>
      </c>
    </row>
    <row r="9" ht="13.5" customHeight="1" s="66">
      <c r="A9" s="83" t="n">
        <v>5</v>
      </c>
      <c r="B9" s="84" t="inlineStr">
        <is>
          <t>10cc Syringe</t>
        </is>
      </c>
      <c r="C9" s="84" t="n"/>
      <c r="D9" s="83" t="inlineStr">
        <is>
          <t>No.</t>
        </is>
      </c>
      <c r="E9" s="83" t="n">
        <v>3</v>
      </c>
      <c r="F9" s="85" t="n">
        <v>20</v>
      </c>
      <c r="G9" s="85" t="n">
        <v>60</v>
      </c>
      <c r="H9" s="85" t="n">
        <v>3.76</v>
      </c>
      <c r="I9" s="85" t="n">
        <v>11.28</v>
      </c>
      <c r="J9" s="84" t="inlineStr">
        <is>
          <t>SSB S000069</t>
        </is>
      </c>
    </row>
    <row r="10" ht="13.5" customHeight="1" s="66">
      <c r="A10" s="89" t="n">
        <v>6</v>
      </c>
      <c r="B10" s="90" t="inlineStr">
        <is>
          <t>2ml Syringe</t>
        </is>
      </c>
      <c r="C10" s="90" t="n"/>
      <c r="D10" s="89" t="inlineStr">
        <is>
          <t>No.</t>
        </is>
      </c>
      <c r="E10" s="89" t="n">
        <v>2</v>
      </c>
      <c r="F10" s="91" t="n">
        <v>6.04</v>
      </c>
      <c r="G10" s="91" t="n">
        <v>12.08</v>
      </c>
      <c r="H10" s="91" t="n">
        <v>1.9</v>
      </c>
      <c r="I10" s="91" t="n">
        <v>3.8</v>
      </c>
      <c r="J10" s="90" t="inlineStr">
        <is>
          <t>Filled from stock/rate card</t>
        </is>
      </c>
    </row>
    <row r="11" ht="13.5" customHeight="1" s="66">
      <c r="A11" s="83" t="n">
        <v>7</v>
      </c>
      <c r="B11" s="92" t="inlineStr">
        <is>
          <t>IVF NS 1000ml</t>
        </is>
      </c>
      <c r="C11" s="84" t="inlineStr">
        <is>
          <t>Normal Saline 1L</t>
        </is>
      </c>
      <c r="D11" s="83" t="inlineStr">
        <is>
          <t>No.</t>
        </is>
      </c>
      <c r="E11" s="83" t="n">
        <v>1</v>
      </c>
      <c r="F11" s="85" t="n">
        <v>62.22</v>
      </c>
      <c r="G11" s="85" t="n">
        <v>62.22</v>
      </c>
      <c r="H11" s="85" t="n">
        <v>30.48</v>
      </c>
      <c r="I11" s="85" t="n">
        <v>30.48</v>
      </c>
      <c r="J11" s="84" t="inlineStr">
        <is>
          <t>SSB S000197</t>
        </is>
      </c>
    </row>
    <row r="12" ht="13.5" customHeight="1" s="66">
      <c r="A12" s="86" t="n">
        <v>8</v>
      </c>
      <c r="B12" s="87" t="inlineStr">
        <is>
          <t>Inj. Monocef 1gm</t>
        </is>
      </c>
      <c r="C12" s="87" t="inlineStr">
        <is>
          <t>Ceftriaxone repeat</t>
        </is>
      </c>
      <c r="D12" s="86" t="inlineStr">
        <is>
          <t>No.</t>
        </is>
      </c>
      <c r="E12" s="86" t="n">
        <v>1</v>
      </c>
      <c r="F12" s="88" t="n">
        <v>66.64</v>
      </c>
      <c r="G12" s="88" t="n">
        <v>66.64</v>
      </c>
      <c r="H12" s="88" t="n">
        <v>25.71</v>
      </c>
      <c r="I12" s="88" t="n">
        <v>25.71</v>
      </c>
      <c r="J12" s="87" t="inlineStr">
        <is>
          <t>SSB S000068</t>
        </is>
      </c>
    </row>
    <row r="13" ht="13.5" customHeight="1" s="66">
      <c r="A13" s="83" t="n">
        <v>9</v>
      </c>
      <c r="B13" s="84" t="inlineStr">
        <is>
          <t>Inj. Rantac 2ml</t>
        </is>
      </c>
      <c r="C13" s="84" t="n"/>
      <c r="D13" s="83" t="inlineStr">
        <is>
          <t>No.</t>
        </is>
      </c>
      <c r="E13" s="83" t="n">
        <v>2</v>
      </c>
      <c r="F13" s="85" t="n">
        <v>7.48</v>
      </c>
      <c r="G13" s="85" t="n">
        <v>14.96</v>
      </c>
      <c r="H13" s="85" t="n">
        <v>4.29</v>
      </c>
      <c r="I13" s="85" t="n">
        <v>8.58</v>
      </c>
      <c r="J13" s="84" t="inlineStr">
        <is>
          <t>SSB S000068</t>
        </is>
      </c>
    </row>
    <row r="14" ht="13.5" customHeight="1" s="66">
      <c r="A14" s="86" t="n">
        <v>10</v>
      </c>
      <c r="B14" s="87" t="inlineStr">
        <is>
          <t>IVF NS 500ml</t>
        </is>
      </c>
      <c r="C14" s="87" t="inlineStr">
        <is>
          <t>Normal Saline</t>
        </is>
      </c>
      <c r="D14" s="86" t="inlineStr">
        <is>
          <t>No.</t>
        </is>
      </c>
      <c r="E14" s="86" t="n">
        <v>1</v>
      </c>
      <c r="F14" s="88" t="n">
        <v>39.05</v>
      </c>
      <c r="G14" s="88" t="n">
        <v>39.05</v>
      </c>
      <c r="H14" s="88" t="n">
        <v>16.67</v>
      </c>
      <c r="I14" s="88" t="n">
        <v>16.67</v>
      </c>
      <c r="J14" s="87" t="inlineStr">
        <is>
          <t>SSB S000068</t>
        </is>
      </c>
    </row>
    <row r="15" ht="13.5" customHeight="1" s="66">
      <c r="A15" s="89" t="n">
        <v>11</v>
      </c>
      <c r="B15" s="90" t="inlineStr">
        <is>
          <t>Inj. Tramadol 50mg</t>
        </is>
      </c>
      <c r="C15" s="90" t="inlineStr">
        <is>
          <t>Analgesic</t>
        </is>
      </c>
      <c r="D15" s="89" t="inlineStr">
        <is>
          <t>No.</t>
        </is>
      </c>
      <c r="E15" s="89" t="n">
        <v>1</v>
      </c>
      <c r="F15" s="91" t="n">
        <v>12.56</v>
      </c>
      <c r="G15" s="91" t="n">
        <v>12.56</v>
      </c>
      <c r="H15" s="91" t="n">
        <v>4.76</v>
      </c>
      <c r="I15" s="91" t="n">
        <v>4.76</v>
      </c>
      <c r="J15" s="90" t="inlineStr">
        <is>
          <t>Filled from stock/rate card</t>
        </is>
      </c>
    </row>
    <row r="16" ht="13.5" customHeight="1" s="66">
      <c r="A16" s="89" t="n">
        <v>12</v>
      </c>
      <c r="B16" s="90" t="inlineStr">
        <is>
          <t>100ml NS</t>
        </is>
      </c>
      <c r="C16" s="90" t="n"/>
      <c r="D16" s="89" t="inlineStr">
        <is>
          <t>No.</t>
        </is>
      </c>
      <c r="E16" s="89" t="n">
        <v>1</v>
      </c>
      <c r="F16" s="91" t="n">
        <v>21.02</v>
      </c>
      <c r="G16" s="91" t="n">
        <v>21.02</v>
      </c>
      <c r="H16" s="91" t="n">
        <v>11.1</v>
      </c>
      <c r="I16" s="91" t="n">
        <v>11.1</v>
      </c>
      <c r="J16" s="90" t="inlineStr">
        <is>
          <t>Filled from stock/rate card</t>
        </is>
      </c>
    </row>
    <row r="17" ht="13.5" customHeight="1" s="66">
      <c r="A17" s="83" t="n">
        <v>13</v>
      </c>
      <c r="B17" s="84" t="inlineStr">
        <is>
          <t>Gloves</t>
        </is>
      </c>
      <c r="C17" s="84" t="inlineStr">
        <is>
          <t>Examination</t>
        </is>
      </c>
      <c r="D17" s="83" t="inlineStr">
        <is>
          <t>No.</t>
        </is>
      </c>
      <c r="E17" s="83" t="n">
        <v>6</v>
      </c>
      <c r="F17" s="85" t="n">
        <v>91</v>
      </c>
      <c r="G17" s="85" t="n">
        <v>546</v>
      </c>
      <c r="H17" s="85" t="n">
        <v>19.06</v>
      </c>
      <c r="I17" s="85" t="n">
        <v>114.36</v>
      </c>
      <c r="J17" s="84" t="inlineStr">
        <is>
          <t>Vivek F-747</t>
        </is>
      </c>
    </row>
    <row r="18" ht="13.5" customHeight="1" s="66">
      <c r="A18" s="86" t="n">
        <v>14</v>
      </c>
      <c r="B18" s="87" t="inlineStr">
        <is>
          <t>Lox 2% Jelly</t>
        </is>
      </c>
      <c r="C18" s="87" t="inlineStr">
        <is>
          <t>Lignocaine Jelly</t>
        </is>
      </c>
      <c r="D18" s="86" t="inlineStr">
        <is>
          <t>No.</t>
        </is>
      </c>
      <c r="E18" s="86" t="n">
        <v>1</v>
      </c>
      <c r="F18" s="88" t="n">
        <v>37.95</v>
      </c>
      <c r="G18" s="88" t="n">
        <v>37.95</v>
      </c>
      <c r="H18" s="88" t="n">
        <v>27</v>
      </c>
      <c r="I18" s="88" t="n">
        <v>27</v>
      </c>
      <c r="J18" s="87" t="inlineStr">
        <is>
          <t>Vivek F-748</t>
        </is>
      </c>
    </row>
    <row r="19" ht="13.5" customHeight="1" s="66">
      <c r="A19" s="83" t="n">
        <v>15</v>
      </c>
      <c r="B19" s="84" t="inlineStr">
        <is>
          <t>IVF NS 1000ml</t>
        </is>
      </c>
      <c r="C19" s="84" t="n"/>
      <c r="D19" s="83" t="inlineStr">
        <is>
          <t>No.</t>
        </is>
      </c>
      <c r="E19" s="83" t="n">
        <v>3</v>
      </c>
      <c r="F19" s="85" t="n">
        <v>62.22</v>
      </c>
      <c r="G19" s="85" t="n">
        <v>186.66</v>
      </c>
      <c r="H19" s="85" t="n">
        <v>30.48</v>
      </c>
      <c r="I19" s="85" t="n">
        <v>91.44</v>
      </c>
      <c r="J19" s="84" t="inlineStr">
        <is>
          <t>SSB S000197</t>
        </is>
      </c>
    </row>
    <row r="20" ht="13.5" customHeight="1" s="66">
      <c r="A20" s="89" t="n">
        <v>16</v>
      </c>
      <c r="B20" s="90" t="inlineStr">
        <is>
          <t>T.U.R.P. Set</t>
        </is>
      </c>
      <c r="C20" s="90" t="inlineStr">
        <is>
          <t>Urology irrigation</t>
        </is>
      </c>
      <c r="D20" s="89" t="inlineStr">
        <is>
          <t>No.</t>
        </is>
      </c>
      <c r="E20" s="89" t="n">
        <v>1</v>
      </c>
      <c r="F20" s="91" t="n">
        <v>523</v>
      </c>
      <c r="G20" s="91" t="n">
        <v>523</v>
      </c>
      <c r="H20" s="91" t="n">
        <v>107.95</v>
      </c>
      <c r="I20" s="91" t="n">
        <v>107.95</v>
      </c>
      <c r="J20" s="90" t="inlineStr">
        <is>
          <t>Filled from stock/rate card</t>
        </is>
      </c>
    </row>
    <row r="21" ht="13.5" customHeight="1" s="66">
      <c r="A21" s="83" t="n">
        <v>17</v>
      </c>
      <c r="B21" s="84" t="inlineStr">
        <is>
          <t>Venflon 18G</t>
        </is>
      </c>
      <c r="C21" s="84" t="inlineStr">
        <is>
          <t>IV Cannula 18G</t>
        </is>
      </c>
      <c r="D21" s="83" t="inlineStr">
        <is>
          <t>No.</t>
        </is>
      </c>
      <c r="E21" s="83" t="n">
        <v>1</v>
      </c>
      <c r="F21" s="85" t="n">
        <v>321</v>
      </c>
      <c r="G21" s="85" t="n">
        <v>321</v>
      </c>
      <c r="H21" s="85" t="n">
        <v>55</v>
      </c>
      <c r="I21" s="85" t="n">
        <v>55</v>
      </c>
      <c r="J21" s="84" t="inlineStr">
        <is>
          <t>Vivek F-684</t>
        </is>
      </c>
    </row>
    <row r="22" ht="13.5" customHeight="1" s="66">
      <c r="A22" s="86" t="n">
        <v>18</v>
      </c>
      <c r="B22" s="87" t="inlineStr">
        <is>
          <t>Easyfix</t>
        </is>
      </c>
      <c r="C22" s="87" t="inlineStr">
        <is>
          <t>Adhesive dressing</t>
        </is>
      </c>
      <c r="D22" s="86" t="inlineStr">
        <is>
          <t>No.</t>
        </is>
      </c>
      <c r="E22" s="86" t="n">
        <v>1</v>
      </c>
      <c r="F22" s="88" t="n">
        <v>900</v>
      </c>
      <c r="G22" s="88" t="n">
        <v>900</v>
      </c>
      <c r="H22" s="88" t="n">
        <v>300</v>
      </c>
      <c r="I22" s="88" t="n">
        <v>300</v>
      </c>
      <c r="J22" s="87" t="inlineStr">
        <is>
          <t>CLD 3x proxy</t>
        </is>
      </c>
    </row>
    <row r="23" ht="13.5" customHeight="1" s="66">
      <c r="A23" s="83" t="n">
        <v>19</v>
      </c>
      <c r="B23" s="84" t="inlineStr">
        <is>
          <t>IV Set</t>
        </is>
      </c>
      <c r="C23" s="84" t="n"/>
      <c r="D23" s="83" t="inlineStr">
        <is>
          <t>No.</t>
        </is>
      </c>
      <c r="E23" s="83" t="n">
        <v>1</v>
      </c>
      <c r="F23" s="85" t="n">
        <v>201</v>
      </c>
      <c r="G23" s="85" t="n">
        <v>201</v>
      </c>
      <c r="H23" s="85" t="n">
        <v>10.48</v>
      </c>
      <c r="I23" s="85" t="n">
        <v>10.48</v>
      </c>
      <c r="J23" s="84" t="inlineStr">
        <is>
          <t>SSB S000069</t>
        </is>
      </c>
    </row>
    <row r="24" ht="13.5" customHeight="1" s="66">
      <c r="A24" s="89" t="n">
        <v>20</v>
      </c>
      <c r="B24" s="90" t="inlineStr">
        <is>
          <t>Cap + Mask</t>
        </is>
      </c>
      <c r="C24" s="90" t="inlineStr">
        <is>
          <t>Disposable</t>
        </is>
      </c>
      <c r="D24" s="89" t="inlineStr">
        <is>
          <t>No.</t>
        </is>
      </c>
      <c r="E24" s="89" t="n">
        <v>5</v>
      </c>
      <c r="F24" s="91" t="n">
        <v>25</v>
      </c>
      <c r="G24" s="91" t="n">
        <v>125</v>
      </c>
      <c r="H24" s="91" t="inlineStr">
        <is>
          <t>⚠</t>
        </is>
      </c>
      <c r="I24" s="91" t="inlineStr">
        <is>
          <t>⚠</t>
        </is>
      </c>
      <c r="J24" s="90" t="inlineStr">
        <is>
          <t>MRP filled; cost ⚠</t>
        </is>
      </c>
    </row>
    <row r="25" ht="13.5" customHeight="1" s="66">
      <c r="A25" s="83" t="n">
        <v>21</v>
      </c>
      <c r="B25" s="84" t="inlineStr">
        <is>
          <t>Betadine Lotion 100ml</t>
        </is>
      </c>
      <c r="C25" s="84" t="inlineStr">
        <is>
          <t>Povidone-Iodine</t>
        </is>
      </c>
      <c r="D25" s="83" t="inlineStr">
        <is>
          <t>No.</t>
        </is>
      </c>
      <c r="E25" s="83" t="n">
        <v>1</v>
      </c>
      <c r="F25" s="85" t="n">
        <v>236.25</v>
      </c>
      <c r="G25" s="85" t="n">
        <v>236.25</v>
      </c>
      <c r="H25" s="85" t="n">
        <v>200</v>
      </c>
      <c r="I25" s="85" t="n">
        <v>200</v>
      </c>
      <c r="J25" s="84" t="inlineStr">
        <is>
          <t>SSB S000069</t>
        </is>
      </c>
    </row>
    <row r="26" ht="13.5" customHeight="1" s="66">
      <c r="A26" s="86" t="n">
        <v>22</v>
      </c>
      <c r="B26" s="87" t="inlineStr">
        <is>
          <t>Uro Bag</t>
        </is>
      </c>
      <c r="C26" s="87" t="n"/>
      <c r="D26" s="86" t="inlineStr">
        <is>
          <t>No.</t>
        </is>
      </c>
      <c r="E26" s="86" t="n">
        <v>1</v>
      </c>
      <c r="F26" s="88" t="n">
        <v>361</v>
      </c>
      <c r="G26" s="88" t="n">
        <v>361</v>
      </c>
      <c r="H26" s="88" t="n">
        <v>29.05</v>
      </c>
      <c r="I26" s="88" t="n">
        <v>29.05</v>
      </c>
      <c r="J26" s="87" t="inlineStr">
        <is>
          <t>SSB S000069</t>
        </is>
      </c>
    </row>
    <row r="27" ht="13.5" customHeight="1" s="66">
      <c r="A27" s="93" t="n">
        <v>23</v>
      </c>
      <c r="B27" s="94" t="inlineStr">
        <is>
          <t xml:space="preserve">Catheder 16 No </t>
        </is>
      </c>
      <c r="C27" s="94" t="n"/>
      <c r="D27" s="93" t="n"/>
      <c r="E27" s="93" t="n">
        <v>1</v>
      </c>
      <c r="F27" s="95" t="n"/>
      <c r="G27" s="88" t="n"/>
      <c r="H27" s="88" t="n"/>
      <c r="I27" s="88" t="n"/>
      <c r="J27" s="87" t="n"/>
    </row>
    <row r="28" ht="13.5" customHeight="1" s="66">
      <c r="A28" s="93" t="n">
        <v>24</v>
      </c>
      <c r="B28" s="94" t="inlineStr">
        <is>
          <t xml:space="preserve">Moly Sheet </t>
        </is>
      </c>
      <c r="C28" s="94" t="n"/>
      <c r="D28" s="93" t="n"/>
      <c r="E28" s="93" t="n">
        <v>1</v>
      </c>
      <c r="F28" s="95" t="n"/>
      <c r="G28" s="88" t="n"/>
      <c r="H28" s="88" t="n"/>
      <c r="I28" s="88" t="n"/>
      <c r="J28" s="87" t="n"/>
    </row>
    <row r="29" ht="13.5" customHeight="1" s="66">
      <c r="A29" s="93" t="n">
        <v>25</v>
      </c>
      <c r="B29" s="94" t="inlineStr">
        <is>
          <t xml:space="preserve">Gauze </t>
        </is>
      </c>
      <c r="C29" s="94" t="n"/>
      <c r="D29" s="93" t="n"/>
      <c r="E29" s="93" t="n">
        <v>6</v>
      </c>
      <c r="F29" s="95" t="n"/>
      <c r="G29" s="88" t="n"/>
      <c r="H29" s="88" t="n"/>
      <c r="I29" s="88" t="n"/>
      <c r="J29" s="87" t="n"/>
    </row>
    <row r="30" ht="15.75" customHeight="1" s="66">
      <c r="A30" s="96" t="inlineStr">
        <is>
          <t xml:space="preserve">  Subtotal — Consumables / Medicines</t>
        </is>
      </c>
      <c r="B30" s="97" t="n"/>
      <c r="C30" s="97" t="n"/>
      <c r="D30" s="97" t="n"/>
      <c r="E30" s="97" t="n"/>
      <c r="F30" s="97" t="n"/>
      <c r="G30" s="98" t="n">
        <v>3170.46</v>
      </c>
      <c r="H30" s="99" t="n"/>
      <c r="I30" s="98" t="n">
        <v>971.1799999999999</v>
      </c>
      <c r="J30" s="99" t="n"/>
    </row>
    <row r="32" ht="15" customHeight="1" s="66">
      <c r="A32" s="100" t="inlineStr">
        <is>
          <t xml:space="preserve">  SECTION B — ROOM / BED CHARGES</t>
        </is>
      </c>
    </row>
    <row r="33" ht="13.5" customHeight="1" s="66">
      <c r="A33" s="101" t="n">
        <v>1</v>
      </c>
      <c r="B33" s="102" t="inlineStr">
        <is>
          <t>Bed / Room Charges</t>
        </is>
      </c>
      <c r="C33" s="102" t="inlineStr">
        <is>
          <t>General Ward — 1 Day</t>
        </is>
      </c>
      <c r="D33" s="101" t="inlineStr">
        <is>
          <t>Day</t>
        </is>
      </c>
      <c r="E33" s="101" t="n">
        <v>1</v>
      </c>
      <c r="F33" s="103" t="n">
        <v>1000</v>
      </c>
      <c r="G33" s="103" t="n">
        <v>1000</v>
      </c>
      <c r="H33" s="102" t="inlineStr">
        <is>
          <t>—</t>
        </is>
      </c>
      <c r="I33" s="102" t="inlineStr">
        <is>
          <t>—</t>
        </is>
      </c>
      <c r="J33" s="104" t="inlineStr">
        <is>
          <t>Fixed hospital rate</t>
        </is>
      </c>
    </row>
    <row r="35" ht="15" customHeight="1" s="66">
      <c r="A35" s="105" t="inlineStr">
        <is>
          <t xml:space="preserve">  SECTION C — OT / PROCEDURE CHARGES</t>
        </is>
      </c>
    </row>
    <row r="36" ht="13.5" customHeight="1" s="66">
      <c r="A36" s="106" t="n">
        <v>1</v>
      </c>
      <c r="B36" s="107" t="inlineStr">
        <is>
          <t>OT / Procedure Charges</t>
        </is>
      </c>
      <c r="C36" s="107" t="inlineStr">
        <is>
          <t>Per procedure</t>
        </is>
      </c>
      <c r="D36" s="106" t="inlineStr">
        <is>
          <t>—</t>
        </is>
      </c>
      <c r="E36" s="106" t="n">
        <v>1</v>
      </c>
      <c r="F36" s="108" t="n">
        <v>1500</v>
      </c>
      <c r="G36" s="108" t="n">
        <v>1500</v>
      </c>
      <c r="H36" s="107" t="inlineStr">
        <is>
          <t>—</t>
        </is>
      </c>
      <c r="I36" s="107" t="inlineStr">
        <is>
          <t>—</t>
        </is>
      </c>
      <c r="J36" s="109" t="inlineStr">
        <is>
          <t>Fixed hospital rate</t>
        </is>
      </c>
    </row>
    <row r="38" ht="21.75" customHeight="1" s="66">
      <c r="A38" s="110" t="inlineStr">
        <is>
          <t>GRAND TOTAL PATIENT BILL</t>
        </is>
      </c>
      <c r="B38" s="111" t="n"/>
      <c r="C38" s="111" t="n"/>
      <c r="D38" s="111" t="n"/>
      <c r="E38" s="111" t="n"/>
      <c r="F38" s="111" t="n"/>
      <c r="G38" s="112" t="n">
        <v>5670.46</v>
      </c>
      <c r="H38" s="113" t="inlineStr">
        <is>
          <t>Total Cost: ₹971.18  |  Margin: ₹4,699.28</t>
        </is>
      </c>
      <c r="I38" s="111" t="n"/>
      <c r="J38" s="114" t="n"/>
    </row>
    <row r="40" ht="18" customHeight="1" s="66">
      <c r="A40" s="115" t="inlineStr">
        <is>
          <t xml:space="preserve">  🟡 Amber rows = estimated MRP (market/proxy rate); cost shown as 30% below MRP.   🔴 Red rows = MRP not found; enter manually.   White/blue rows = actual invoice MRP.</t>
        </is>
      </c>
    </row>
    <row r="41" ht="18" customHeight="1" s="66">
      <c r="A41" s="116" t="inlineStr">
        <is>
          <t>⚠ 5 item(s) without MRP: 2ml Syringe | Inj. Tramadol 50mg | Cap + Mask | T.U.R.P. Set | 100ml NS</t>
        </is>
      </c>
    </row>
  </sheetData>
  <mergeCells count="12">
    <mergeCell ref="A38:F38"/>
    <mergeCell ref="A1:J1"/>
    <mergeCell ref="A32:J32"/>
    <mergeCell ref="H38:I38"/>
    <mergeCell ref="E2:F2"/>
    <mergeCell ref="A40:J40"/>
    <mergeCell ref="I2:J2"/>
    <mergeCell ref="A3:J3"/>
    <mergeCell ref="A35:J35"/>
    <mergeCell ref="A2:D2"/>
    <mergeCell ref="A30:F30"/>
    <mergeCell ref="A41:J4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92D050"/>
    <outlinePr summaryBelow="1" summaryRight="1"/>
    <pageSetUpPr fitToPage="0"/>
  </sheetPr>
  <dimension ref="A1:J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6" activePane="bottomLeft" state="frozen"/>
      <selection pane="topLeft" activeCell="A1" activeCellId="0" sqref="A1"/>
      <selection pane="bottomLeft" activeCell="B17" activeCellId="0" sqref="B17"/>
    </sheetView>
  </sheetViews>
  <sheetFormatPr baseColWidth="8" defaultColWidth="8.6328125" defaultRowHeight="14.25" zeroHeight="0" outlineLevelRow="0"/>
  <cols>
    <col width="5" customWidth="1" style="65" min="1" max="1"/>
    <col width="30" customWidth="1" style="65" min="2" max="2"/>
    <col width="20" customWidth="1" style="65" min="3" max="3"/>
    <col width="9" customWidth="1" style="65" min="4" max="4"/>
    <col width="6" customWidth="1" style="65" min="5" max="5"/>
    <col width="14" customWidth="1" style="65" min="6" max="6"/>
    <col width="15" customWidth="1" style="65" min="7" max="7"/>
    <col width="14" customWidth="1" style="65" min="8" max="8"/>
    <col width="15" customWidth="1" style="65" min="9" max="9"/>
    <col width="22" customWidth="1" style="65" min="10" max="10"/>
  </cols>
  <sheetData>
    <row r="1" ht="21.75" customHeight="1" s="66">
      <c r="A1" s="78" t="inlineStr">
        <is>
          <t>BK ADITYA MULTISPECIALTY HOSPITAL — PATIENT BILL</t>
        </is>
      </c>
    </row>
    <row r="2" ht="18" customHeight="1" s="66">
      <c r="A2" s="79" t="inlineStr">
        <is>
          <t>Patient: Sudipta Bisai</t>
        </is>
      </c>
      <c r="E2" s="80" t="inlineStr">
        <is>
          <t>Doctor: Dr. S. Gupta</t>
        </is>
      </c>
      <c r="G2" s="80" t="inlineStr">
        <is>
          <t>Date: 25/04/2026</t>
        </is>
      </c>
      <c r="H2" s="80" t="inlineStr">
        <is>
          <t>Indent: —</t>
        </is>
      </c>
      <c r="I2" s="80" t="inlineStr">
        <is>
          <t>Type: Ward</t>
        </is>
      </c>
    </row>
    <row r="3" ht="15" customHeight="1" s="66">
      <c r="A3" s="81" t="inlineStr">
        <is>
          <t xml:space="preserve">  SECTION A — CONSUMABLES &amp; MEDICINES</t>
        </is>
      </c>
    </row>
    <row r="4" ht="30" customHeight="1" s="66">
      <c r="A4" s="82" t="inlineStr">
        <is>
          <t>Sl</t>
        </is>
      </c>
      <c r="B4" s="82" t="inlineStr">
        <is>
          <t>Item Name</t>
        </is>
      </c>
      <c r="C4" s="82" t="inlineStr">
        <is>
          <t>Specification</t>
        </is>
      </c>
      <c r="D4" s="82" t="inlineStr">
        <is>
          <t>Unit</t>
        </is>
      </c>
      <c r="E4" s="82" t="inlineStr">
        <is>
          <t>Qty</t>
        </is>
      </c>
      <c r="F4" s="82" t="inlineStr">
        <is>
          <t>MRP/Unit (₹)</t>
        </is>
      </c>
      <c r="G4" s="82" t="inlineStr">
        <is>
          <t>Charge @MRP (₹)</t>
        </is>
      </c>
      <c r="H4" s="82" t="inlineStr">
        <is>
          <t>Cost/Unit (₹)</t>
        </is>
      </c>
      <c r="I4" s="82" t="inlineStr">
        <is>
          <t>Cost Total (₹)</t>
        </is>
      </c>
      <c r="J4" s="82" t="inlineStr">
        <is>
          <t>Source / Remarks</t>
        </is>
      </c>
    </row>
    <row r="5" ht="13.5" customHeight="1" s="66">
      <c r="A5" s="83" t="n">
        <v>1</v>
      </c>
      <c r="B5" s="84" t="inlineStr">
        <is>
          <t>Inj. Pip20 4.5</t>
        </is>
      </c>
      <c r="C5" s="84" t="inlineStr">
        <is>
          <t>Piperacillin-Taz 4.5g</t>
        </is>
      </c>
      <c r="D5" s="83" t="inlineStr">
        <is>
          <t>No.</t>
        </is>
      </c>
      <c r="E5" s="83" t="n">
        <v>2</v>
      </c>
      <c r="F5" s="85" t="n">
        <v>326.22</v>
      </c>
      <c r="G5" s="85" t="n">
        <v>652.4400000000001</v>
      </c>
      <c r="H5" s="85" t="n">
        <v>95.23999999999999</v>
      </c>
      <c r="I5" s="85" t="n">
        <v>190.48</v>
      </c>
      <c r="J5" s="84" t="inlineStr">
        <is>
          <t>SSB S000069</t>
        </is>
      </c>
    </row>
    <row r="6" ht="13.5" customHeight="1" s="66">
      <c r="A6" s="86" t="n">
        <v>2</v>
      </c>
      <c r="B6" s="87" t="inlineStr">
        <is>
          <t>IV Set</t>
        </is>
      </c>
      <c r="C6" s="87" t="n"/>
      <c r="D6" s="86" t="inlineStr">
        <is>
          <t>No.</t>
        </is>
      </c>
      <c r="E6" s="86" t="n">
        <v>1</v>
      </c>
      <c r="F6" s="88" t="n">
        <v>201</v>
      </c>
      <c r="G6" s="88" t="n">
        <v>201</v>
      </c>
      <c r="H6" s="88" t="n">
        <v>10.48</v>
      </c>
      <c r="I6" s="88" t="n">
        <v>10.48</v>
      </c>
      <c r="J6" s="87" t="inlineStr">
        <is>
          <t>SSB S000069</t>
        </is>
      </c>
    </row>
    <row r="7" ht="13.5" customHeight="1" s="66">
      <c r="A7" s="83" t="n">
        <v>3</v>
      </c>
      <c r="B7" s="84" t="inlineStr">
        <is>
          <t>IV Cannula 20G</t>
        </is>
      </c>
      <c r="C7" s="84" t="n"/>
      <c r="D7" s="83" t="inlineStr">
        <is>
          <t>No.</t>
        </is>
      </c>
      <c r="E7" s="83" t="n">
        <v>1</v>
      </c>
      <c r="F7" s="85" t="n">
        <v>202.55</v>
      </c>
      <c r="G7" s="85" t="n">
        <v>202.55</v>
      </c>
      <c r="H7" s="85" t="n">
        <v>7.14</v>
      </c>
      <c r="I7" s="85" t="n">
        <v>7.14</v>
      </c>
      <c r="J7" s="84" t="inlineStr">
        <is>
          <t>SSB S000069</t>
        </is>
      </c>
    </row>
    <row r="8" ht="13.5" customHeight="1" s="66">
      <c r="A8" s="86" t="n">
        <v>4</v>
      </c>
      <c r="B8" s="87" t="inlineStr">
        <is>
          <t>Easyfix</t>
        </is>
      </c>
      <c r="C8" s="87" t="n"/>
      <c r="D8" s="86" t="inlineStr">
        <is>
          <t>No.</t>
        </is>
      </c>
      <c r="E8" s="86" t="n">
        <v>1</v>
      </c>
      <c r="F8" s="88" t="n">
        <v>900</v>
      </c>
      <c r="G8" s="88" t="n">
        <v>900</v>
      </c>
      <c r="H8" s="88" t="n">
        <v>300</v>
      </c>
      <c r="I8" s="88" t="n">
        <v>300</v>
      </c>
      <c r="J8" s="87" t="inlineStr">
        <is>
          <t>CLD 3x proxy</t>
        </is>
      </c>
    </row>
    <row r="9" ht="13.5" customHeight="1" s="66">
      <c r="A9" s="83" t="n">
        <v>5</v>
      </c>
      <c r="B9" s="84" t="inlineStr">
        <is>
          <t>NS 500ml</t>
        </is>
      </c>
      <c r="C9" s="84" t="n"/>
      <c r="D9" s="83" t="inlineStr">
        <is>
          <t>No.</t>
        </is>
      </c>
      <c r="E9" s="83" t="n">
        <v>1</v>
      </c>
      <c r="F9" s="85" t="n">
        <v>39.05</v>
      </c>
      <c r="G9" s="85" t="n">
        <v>39.05</v>
      </c>
      <c r="H9" s="85" t="n">
        <v>16.67</v>
      </c>
      <c r="I9" s="85" t="n">
        <v>16.67</v>
      </c>
      <c r="J9" s="84" t="inlineStr">
        <is>
          <t>SSB S000068</t>
        </is>
      </c>
    </row>
    <row r="10" ht="13.5" customHeight="1" s="66">
      <c r="A10" s="89" t="n">
        <v>6</v>
      </c>
      <c r="B10" s="90" t="inlineStr">
        <is>
          <t>Cap + Mask</t>
        </is>
      </c>
      <c r="C10" s="90" t="inlineStr">
        <is>
          <t>Disposable</t>
        </is>
      </c>
      <c r="D10" s="89" t="inlineStr">
        <is>
          <t>No.</t>
        </is>
      </c>
      <c r="E10" s="89" t="n">
        <v>4</v>
      </c>
      <c r="F10" s="91" t="n">
        <v>25</v>
      </c>
      <c r="G10" s="91" t="n">
        <v>100</v>
      </c>
      <c r="H10" s="91" t="inlineStr">
        <is>
          <t>⚠</t>
        </is>
      </c>
      <c r="I10" s="91" t="inlineStr">
        <is>
          <t>⚠</t>
        </is>
      </c>
      <c r="J10" s="90" t="inlineStr">
        <is>
          <t>MRP filled; cost ⚠</t>
        </is>
      </c>
    </row>
    <row r="11" ht="13.5" customHeight="1" s="66">
      <c r="A11" s="83" t="n">
        <v>7</v>
      </c>
      <c r="B11" s="84" t="inlineStr">
        <is>
          <t>Syringe 10cc</t>
        </is>
      </c>
      <c r="C11" s="84" t="n"/>
      <c r="D11" s="83" t="inlineStr">
        <is>
          <t>No.</t>
        </is>
      </c>
      <c r="E11" s="83" t="n">
        <v>2</v>
      </c>
      <c r="F11" s="85" t="n">
        <v>20</v>
      </c>
      <c r="G11" s="85" t="n">
        <v>40</v>
      </c>
      <c r="H11" s="85" t="n">
        <v>3.76</v>
      </c>
      <c r="I11" s="85" t="n">
        <v>7.52</v>
      </c>
      <c r="J11" s="84" t="inlineStr">
        <is>
          <t>SSB S000069</t>
        </is>
      </c>
    </row>
    <row r="12" ht="13.5" customHeight="1" s="66">
      <c r="A12" s="86" t="n">
        <v>8</v>
      </c>
      <c r="B12" s="87" t="inlineStr">
        <is>
          <t>Syringe 5cc</t>
        </is>
      </c>
      <c r="C12" s="87" t="n"/>
      <c r="D12" s="86" t="inlineStr">
        <is>
          <t>No.</t>
        </is>
      </c>
      <c r="E12" s="86" t="n">
        <v>2</v>
      </c>
      <c r="F12" s="88" t="n">
        <v>10.23</v>
      </c>
      <c r="G12" s="88" t="n">
        <v>20.46</v>
      </c>
      <c r="H12" s="88" t="n">
        <v>2.38</v>
      </c>
      <c r="I12" s="88" t="n">
        <v>4.76</v>
      </c>
      <c r="J12" s="87" t="inlineStr">
        <is>
          <t>SSB S000069</t>
        </is>
      </c>
    </row>
    <row r="13" ht="13.5" customHeight="1" s="66">
      <c r="A13" s="83" t="n">
        <v>9</v>
      </c>
      <c r="B13" s="84" t="inlineStr">
        <is>
          <t>Inj. Lox 2%</t>
        </is>
      </c>
      <c r="C13" s="84" t="inlineStr">
        <is>
          <t>Lignocaine 2%</t>
        </is>
      </c>
      <c r="D13" s="83" t="inlineStr">
        <is>
          <t>No.</t>
        </is>
      </c>
      <c r="E13" s="83" t="n">
        <v>1</v>
      </c>
      <c r="F13" s="85" t="n">
        <v>37.95</v>
      </c>
      <c r="G13" s="85" t="n">
        <v>37.95</v>
      </c>
      <c r="H13" s="85" t="n">
        <v>27</v>
      </c>
      <c r="I13" s="85" t="n">
        <v>27</v>
      </c>
      <c r="J13" s="84" t="inlineStr">
        <is>
          <t>Vivek F-748</t>
        </is>
      </c>
    </row>
    <row r="14" ht="13.5" customHeight="1" s="66">
      <c r="A14" s="86" t="n">
        <v>10</v>
      </c>
      <c r="B14" s="87" t="inlineStr">
        <is>
          <t>Gauze</t>
        </is>
      </c>
      <c r="C14" s="87" t="inlineStr">
        <is>
          <t>Sterile</t>
        </is>
      </c>
      <c r="D14" s="86" t="inlineStr">
        <is>
          <t>No.</t>
        </is>
      </c>
      <c r="E14" s="86" t="n">
        <v>4</v>
      </c>
      <c r="F14" s="88" t="n">
        <v>14</v>
      </c>
      <c r="G14" s="88" t="n">
        <v>56</v>
      </c>
      <c r="H14" s="88" t="n">
        <v>5.46</v>
      </c>
      <c r="I14" s="88" t="n">
        <v>21.84</v>
      </c>
      <c r="J14" s="87" t="inlineStr">
        <is>
          <t>Vivek F-747</t>
        </is>
      </c>
    </row>
    <row r="15" ht="13.5" customHeight="1" s="66">
      <c r="A15" s="83" t="n">
        <v>11</v>
      </c>
      <c r="B15" s="84" t="inlineStr">
        <is>
          <t>Gloves 7 No.</t>
        </is>
      </c>
      <c r="C15" s="84" t="inlineStr">
        <is>
          <t>Surgical sterile</t>
        </is>
      </c>
      <c r="D15" s="83" t="inlineStr">
        <is>
          <t>No.</t>
        </is>
      </c>
      <c r="E15" s="83" t="n">
        <v>2</v>
      </c>
      <c r="F15" s="85" t="n">
        <v>91</v>
      </c>
      <c r="G15" s="85" t="n">
        <v>182</v>
      </c>
      <c r="H15" s="85" t="n">
        <v>19.06</v>
      </c>
      <c r="I15" s="85" t="n">
        <v>38.12</v>
      </c>
      <c r="J15" s="84" t="inlineStr">
        <is>
          <t>Vivek F-747</t>
        </is>
      </c>
    </row>
    <row r="16" ht="13.5" customHeight="1" s="66">
      <c r="A16" s="86" t="n">
        <v>12</v>
      </c>
      <c r="B16" s="87" t="inlineStr">
        <is>
          <t>Betadine Lotion 100ml</t>
        </is>
      </c>
      <c r="C16" s="87" t="inlineStr">
        <is>
          <t>Povidone-Iodine</t>
        </is>
      </c>
      <c r="D16" s="86" t="inlineStr">
        <is>
          <t>No.</t>
        </is>
      </c>
      <c r="E16" s="86" t="n">
        <v>1</v>
      </c>
      <c r="F16" s="88" t="n">
        <v>236.25</v>
      </c>
      <c r="G16" s="88" t="n">
        <v>236.25</v>
      </c>
      <c r="H16" s="88" t="n">
        <v>200</v>
      </c>
      <c r="I16" s="88" t="n">
        <v>200</v>
      </c>
      <c r="J16" s="87" t="inlineStr">
        <is>
          <t>SSB S000069</t>
        </is>
      </c>
    </row>
    <row r="17" ht="13.5" customHeight="1" s="66">
      <c r="A17" s="83" t="n">
        <v>13</v>
      </c>
      <c r="B17" s="84" t="inlineStr">
        <is>
          <t>Jelo Net</t>
        </is>
      </c>
      <c r="C17" s="84" t="inlineStr">
        <is>
          <t>Paraffin tulle</t>
        </is>
      </c>
      <c r="D17" s="83" t="inlineStr">
        <is>
          <t>No.</t>
        </is>
      </c>
      <c r="E17" s="83" t="n">
        <v>1</v>
      </c>
      <c r="F17" s="85" t="n">
        <v>280</v>
      </c>
      <c r="G17" s="85" t="n">
        <v>280</v>
      </c>
      <c r="H17" s="85" t="n">
        <v>128.57</v>
      </c>
      <c r="I17" s="85" t="n">
        <v>128.57</v>
      </c>
      <c r="J17" s="84" t="inlineStr">
        <is>
          <t>SSB S000069</t>
        </is>
      </c>
    </row>
    <row r="18" ht="13.5" customHeight="1" s="66">
      <c r="A18" s="86" t="n">
        <v>14</v>
      </c>
      <c r="B18" s="87" t="inlineStr">
        <is>
          <t>Catgut 3-0</t>
        </is>
      </c>
      <c r="C18" s="87" t="inlineStr">
        <is>
          <t>Absorbable suture</t>
        </is>
      </c>
      <c r="D18" s="86" t="inlineStr">
        <is>
          <t>No.</t>
        </is>
      </c>
      <c r="E18" s="86" t="n">
        <v>1</v>
      </c>
      <c r="F18" s="88" t="n">
        <v>216</v>
      </c>
      <c r="G18" s="88" t="n">
        <v>216</v>
      </c>
      <c r="H18" s="88" t="n">
        <v>57.14</v>
      </c>
      <c r="I18" s="88" t="n">
        <v>57.14</v>
      </c>
      <c r="J18" s="87" t="inlineStr">
        <is>
          <t>SSB S000069</t>
        </is>
      </c>
    </row>
    <row r="19" ht="15.75" customHeight="1" s="66">
      <c r="A19" s="96" t="inlineStr">
        <is>
          <t xml:space="preserve">  Subtotal — Consumables / Medicines</t>
        </is>
      </c>
      <c r="B19" s="97" t="n"/>
      <c r="C19" s="97" t="n"/>
      <c r="D19" s="97" t="n"/>
      <c r="E19" s="97" t="n"/>
      <c r="F19" s="97" t="n"/>
      <c r="G19" s="98" t="n">
        <v>3063.7</v>
      </c>
      <c r="H19" s="99" t="n"/>
      <c r="I19" s="98" t="n">
        <v>1009.72</v>
      </c>
      <c r="J19" s="99" t="n"/>
    </row>
    <row r="21" ht="15" customHeight="1" s="66">
      <c r="A21" s="100" t="inlineStr">
        <is>
          <t xml:space="preserve">  SECTION B — ROOM / BED CHARGES</t>
        </is>
      </c>
    </row>
    <row r="22" ht="13.5" customHeight="1" s="66">
      <c r="A22" s="101" t="n">
        <v>1</v>
      </c>
      <c r="B22" s="102" t="inlineStr">
        <is>
          <t>Bed / Room Charges</t>
        </is>
      </c>
      <c r="C22" s="102" t="inlineStr">
        <is>
          <t>General Ward — 1 Day</t>
        </is>
      </c>
      <c r="D22" s="101" t="inlineStr">
        <is>
          <t>Day</t>
        </is>
      </c>
      <c r="E22" s="101" t="n">
        <v>1</v>
      </c>
      <c r="F22" s="103" t="n">
        <v>1000</v>
      </c>
      <c r="G22" s="103" t="n">
        <v>1000</v>
      </c>
      <c r="H22" s="102" t="inlineStr">
        <is>
          <t>—</t>
        </is>
      </c>
      <c r="I22" s="102" t="inlineStr">
        <is>
          <t>—</t>
        </is>
      </c>
      <c r="J22" s="104" t="inlineStr">
        <is>
          <t>Fixed hospital rate</t>
        </is>
      </c>
    </row>
    <row r="24" ht="15" customHeight="1" s="66">
      <c r="A24" s="105" t="inlineStr">
        <is>
          <t xml:space="preserve">  SECTION C — OT / PROCEDURE CHARGES</t>
        </is>
      </c>
    </row>
    <row r="25" ht="13.5" customHeight="1" s="66">
      <c r="A25" s="106" t="n">
        <v>1</v>
      </c>
      <c r="B25" s="107" t="inlineStr">
        <is>
          <t>OT / Procedure Charges</t>
        </is>
      </c>
      <c r="C25" s="107" t="inlineStr">
        <is>
          <t>Per procedure</t>
        </is>
      </c>
      <c r="D25" s="106" t="inlineStr">
        <is>
          <t>—</t>
        </is>
      </c>
      <c r="E25" s="106" t="n">
        <v>1</v>
      </c>
      <c r="F25" s="108" t="n">
        <v>1500</v>
      </c>
      <c r="G25" s="108" t="n">
        <v>1500</v>
      </c>
      <c r="H25" s="107" t="inlineStr">
        <is>
          <t>—</t>
        </is>
      </c>
      <c r="I25" s="107" t="inlineStr">
        <is>
          <t>—</t>
        </is>
      </c>
      <c r="J25" s="109" t="inlineStr">
        <is>
          <t>Fixed hospital rate</t>
        </is>
      </c>
    </row>
    <row r="27" ht="21.75" customHeight="1" s="66">
      <c r="A27" s="110" t="inlineStr">
        <is>
          <t>GRAND TOTAL PATIENT BILL</t>
        </is>
      </c>
      <c r="B27" s="111" t="n"/>
      <c r="C27" s="111" t="n"/>
      <c r="D27" s="111" t="n"/>
      <c r="E27" s="111" t="n"/>
      <c r="F27" s="111" t="n"/>
      <c r="G27" s="112" t="n">
        <v>5563.7</v>
      </c>
      <c r="H27" s="113" t="inlineStr">
        <is>
          <t>Total Cost: ₹1,009.72  |  Margin: ₹4,553.98</t>
        </is>
      </c>
      <c r="I27" s="111" t="n"/>
      <c r="J27" s="114" t="n"/>
    </row>
    <row r="29" ht="18" customHeight="1" s="66">
      <c r="A29" s="115" t="inlineStr">
        <is>
          <t xml:space="preserve">  🟡 Amber rows = estimated MRP (market/proxy rate); cost shown as 30% below MRP.   🔴 Red rows = MRP not found; enter manually.   White/blue rows = actual invoice MRP.</t>
        </is>
      </c>
    </row>
    <row r="30" ht="18" customHeight="1" s="66">
      <c r="A30" s="116" t="inlineStr">
        <is>
          <t>⚠ 1 item(s) without MRP: Cap + Mask</t>
        </is>
      </c>
    </row>
  </sheetData>
  <mergeCells count="12">
    <mergeCell ref="A1:J1"/>
    <mergeCell ref="A19:F19"/>
    <mergeCell ref="E2:F2"/>
    <mergeCell ref="I2:J2"/>
    <mergeCell ref="A3:J3"/>
    <mergeCell ref="A21:J21"/>
    <mergeCell ref="A27:F27"/>
    <mergeCell ref="A30:J30"/>
    <mergeCell ref="A29:J29"/>
    <mergeCell ref="A2:D2"/>
    <mergeCell ref="A24:J24"/>
    <mergeCell ref="H27:I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92D050"/>
    <outlinePr summaryBelow="1" summaryRight="1"/>
    <pageSetUpPr fitToPage="0"/>
  </sheetPr>
  <dimension ref="A1:J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9" activePane="bottomLeft" state="frozen"/>
      <selection pane="topLeft" activeCell="A1" activeCellId="0" sqref="A1"/>
      <selection pane="bottomLeft" activeCell="H19" activeCellId="0" sqref="H19"/>
    </sheetView>
  </sheetViews>
  <sheetFormatPr baseColWidth="8" defaultColWidth="8.6328125" defaultRowHeight="14.25" zeroHeight="0" outlineLevelRow="0"/>
  <cols>
    <col width="5" customWidth="1" style="65" min="1" max="1"/>
    <col width="30" customWidth="1" style="65" min="2" max="2"/>
    <col width="20" customWidth="1" style="65" min="3" max="3"/>
    <col width="9" customWidth="1" style="65" min="4" max="4"/>
    <col width="6" customWidth="1" style="65" min="5" max="5"/>
    <col width="14" customWidth="1" style="65" min="6" max="6"/>
    <col width="15" customWidth="1" style="65" min="7" max="7"/>
    <col width="14" customWidth="1" style="65" min="8" max="8"/>
    <col width="15" customWidth="1" style="65" min="9" max="9"/>
    <col width="22" customWidth="1" style="65" min="10" max="10"/>
  </cols>
  <sheetData>
    <row r="1" ht="21.75" customHeight="1" s="66">
      <c r="A1" s="78" t="inlineStr">
        <is>
          <t>BK ADITYA MULTISPECIALTY HOSPITAL — PATIENT BILL</t>
        </is>
      </c>
    </row>
    <row r="2" ht="18" customHeight="1" s="66">
      <c r="A2" s="79" t="inlineStr">
        <is>
          <t>Patient: Sahinara Begam</t>
        </is>
      </c>
      <c r="E2" s="80" t="inlineStr">
        <is>
          <t>Doctor: Dr. S. Gupta</t>
        </is>
      </c>
      <c r="G2" s="80" t="inlineStr">
        <is>
          <t>Date: 25/04/2026</t>
        </is>
      </c>
      <c r="H2" s="80" t="inlineStr">
        <is>
          <t>Indent: 62</t>
        </is>
      </c>
      <c r="I2" s="80" t="inlineStr">
        <is>
          <t>Type: Ward</t>
        </is>
      </c>
    </row>
    <row r="3" ht="15" customHeight="1" s="66">
      <c r="A3" s="81" t="inlineStr">
        <is>
          <t xml:space="preserve">  SECTION A — CONSUMABLES &amp; MEDICINES</t>
        </is>
      </c>
    </row>
    <row r="4" ht="30" customHeight="1" s="66">
      <c r="A4" s="82" t="inlineStr">
        <is>
          <t>Sl</t>
        </is>
      </c>
      <c r="B4" s="82" t="inlineStr">
        <is>
          <t>Item Name</t>
        </is>
      </c>
      <c r="C4" s="82" t="inlineStr">
        <is>
          <t>Specification</t>
        </is>
      </c>
      <c r="D4" s="82" t="inlineStr">
        <is>
          <t>Unit</t>
        </is>
      </c>
      <c r="E4" s="82" t="inlineStr">
        <is>
          <t>Qty</t>
        </is>
      </c>
      <c r="F4" s="82" t="inlineStr">
        <is>
          <t>MRP/Unit (₹)</t>
        </is>
      </c>
      <c r="G4" s="82" t="inlineStr">
        <is>
          <t>Charge @MRP (₹)</t>
        </is>
      </c>
      <c r="H4" s="82" t="inlineStr">
        <is>
          <t>Cost/Unit (₹)</t>
        </is>
      </c>
      <c r="I4" s="82" t="inlineStr">
        <is>
          <t>Cost Total (₹)</t>
        </is>
      </c>
      <c r="J4" s="82" t="inlineStr">
        <is>
          <t>Source / Remarks</t>
        </is>
      </c>
    </row>
    <row r="5" ht="13.5" customHeight="1" s="66">
      <c r="A5" s="83" t="n">
        <v>1</v>
      </c>
      <c r="B5" s="84" t="inlineStr">
        <is>
          <t>Gauze</t>
        </is>
      </c>
      <c r="C5" s="84" t="inlineStr">
        <is>
          <t>Sterile</t>
        </is>
      </c>
      <c r="D5" s="83" t="inlineStr">
        <is>
          <t>No.</t>
        </is>
      </c>
      <c r="E5" s="83" t="n">
        <v>6</v>
      </c>
      <c r="F5" s="85" t="n">
        <v>14</v>
      </c>
      <c r="G5" s="85" t="n">
        <v>84</v>
      </c>
      <c r="H5" s="85" t="n">
        <v>5.46</v>
      </c>
      <c r="I5" s="85" t="n">
        <v>32.76</v>
      </c>
      <c r="J5" s="84" t="inlineStr">
        <is>
          <t>Vivek F-747</t>
        </is>
      </c>
    </row>
    <row r="6" ht="13.5" customHeight="1" s="66">
      <c r="A6" s="86" t="n">
        <v>2</v>
      </c>
      <c r="B6" s="87" t="inlineStr">
        <is>
          <t>Gloves 7 No.</t>
        </is>
      </c>
      <c r="C6" s="87" t="inlineStr">
        <is>
          <t>Surgical sterile</t>
        </is>
      </c>
      <c r="D6" s="86" t="inlineStr">
        <is>
          <t>No.</t>
        </is>
      </c>
      <c r="E6" s="86" t="n">
        <v>2</v>
      </c>
      <c r="F6" s="88" t="n">
        <v>91</v>
      </c>
      <c r="G6" s="88" t="n">
        <v>182</v>
      </c>
      <c r="H6" s="88" t="n">
        <v>19.06</v>
      </c>
      <c r="I6" s="88" t="n">
        <v>38.12</v>
      </c>
      <c r="J6" s="87" t="inlineStr">
        <is>
          <t>Vivek F-747</t>
        </is>
      </c>
    </row>
    <row r="7" ht="13.5" customHeight="1" s="66">
      <c r="A7" s="89" t="n">
        <v>3</v>
      </c>
      <c r="B7" s="90" t="inlineStr">
        <is>
          <t>Cap + Mask</t>
        </is>
      </c>
      <c r="C7" s="90" t="inlineStr">
        <is>
          <t>Disposable</t>
        </is>
      </c>
      <c r="D7" s="89" t="inlineStr">
        <is>
          <t>No.</t>
        </is>
      </c>
      <c r="E7" s="89" t="n">
        <v>3</v>
      </c>
      <c r="F7" s="91" t="n">
        <v>25</v>
      </c>
      <c r="G7" s="91" t="n">
        <v>75</v>
      </c>
      <c r="H7" s="91" t="inlineStr">
        <is>
          <t>⚠</t>
        </is>
      </c>
      <c r="I7" s="91" t="inlineStr">
        <is>
          <t>⚠</t>
        </is>
      </c>
      <c r="J7" s="90" t="inlineStr">
        <is>
          <t>MRP filled; cost ⚠</t>
        </is>
      </c>
    </row>
    <row r="8" ht="13.5" customHeight="1" s="66">
      <c r="A8" s="86" t="n">
        <v>4</v>
      </c>
      <c r="B8" s="87" t="inlineStr">
        <is>
          <t>Lox Jelly</t>
        </is>
      </c>
      <c r="C8" s="87" t="inlineStr">
        <is>
          <t>Lignocaine Jelly</t>
        </is>
      </c>
      <c r="D8" s="86" t="inlineStr">
        <is>
          <t>No.</t>
        </is>
      </c>
      <c r="E8" s="86" t="n">
        <v>1</v>
      </c>
      <c r="F8" s="88" t="n">
        <v>37.95</v>
      </c>
      <c r="G8" s="88" t="n">
        <v>37.95</v>
      </c>
      <c r="H8" s="88" t="n">
        <v>27</v>
      </c>
      <c r="I8" s="88" t="n">
        <v>27</v>
      </c>
      <c r="J8" s="87" t="inlineStr">
        <is>
          <t>Vivek F-748</t>
        </is>
      </c>
    </row>
    <row r="9" ht="13.5" customHeight="1" s="66">
      <c r="A9" s="83" t="n">
        <v>5</v>
      </c>
      <c r="B9" s="84" t="inlineStr">
        <is>
          <t>Betadine Lotion 100ml</t>
        </is>
      </c>
      <c r="C9" s="84" t="inlineStr">
        <is>
          <t>Povidone-Iodine</t>
        </is>
      </c>
      <c r="D9" s="83" t="inlineStr">
        <is>
          <t>No.</t>
        </is>
      </c>
      <c r="E9" s="83" t="n">
        <v>1</v>
      </c>
      <c r="F9" s="85" t="n">
        <v>236.25</v>
      </c>
      <c r="G9" s="85" t="n">
        <v>236.25</v>
      </c>
      <c r="H9" s="85" t="n">
        <v>200</v>
      </c>
      <c r="I9" s="85" t="n">
        <v>200</v>
      </c>
      <c r="J9" s="84" t="inlineStr">
        <is>
          <t>SSB S000069</t>
        </is>
      </c>
    </row>
    <row r="10" ht="13.5" customHeight="1" s="66">
      <c r="A10" s="86" t="n">
        <v>6</v>
      </c>
      <c r="B10" s="87" t="inlineStr">
        <is>
          <t>NS 500ml</t>
        </is>
      </c>
      <c r="C10" s="87" t="inlineStr">
        <is>
          <t>Dextrose NS</t>
        </is>
      </c>
      <c r="D10" s="86" t="inlineStr">
        <is>
          <t>No.</t>
        </is>
      </c>
      <c r="E10" s="86" t="n">
        <v>1</v>
      </c>
      <c r="F10" s="88" t="n">
        <v>42.8</v>
      </c>
      <c r="G10" s="88" t="n">
        <v>42.8</v>
      </c>
      <c r="H10" s="88" t="n">
        <v>17.14</v>
      </c>
      <c r="I10" s="88" t="n">
        <v>17.14</v>
      </c>
      <c r="J10" s="87" t="inlineStr">
        <is>
          <t>SSB S000068</t>
        </is>
      </c>
    </row>
    <row r="11" ht="15.75" customHeight="1" s="66">
      <c r="A11" s="96" t="inlineStr">
        <is>
          <t xml:space="preserve">  Subtotal — Consumables / Medicines</t>
        </is>
      </c>
      <c r="B11" s="97" t="n"/>
      <c r="C11" s="97" t="n"/>
      <c r="D11" s="97" t="n"/>
      <c r="E11" s="97" t="n"/>
      <c r="F11" s="97" t="n"/>
      <c r="G11" s="98" t="n">
        <v>583</v>
      </c>
      <c r="H11" s="99" t="n"/>
      <c r="I11" s="98" t="n">
        <v>315.02</v>
      </c>
      <c r="J11" s="99" t="n"/>
    </row>
    <row r="13" ht="15" customHeight="1" s="66">
      <c r="A13" s="100" t="inlineStr">
        <is>
          <t xml:space="preserve">  SECTION B — ROOM / BED CHARGES</t>
        </is>
      </c>
    </row>
    <row r="14" ht="13.5" customHeight="1" s="66">
      <c r="A14" s="101" t="n">
        <v>1</v>
      </c>
      <c r="B14" s="102" t="inlineStr">
        <is>
          <t>Bed / Room Charges</t>
        </is>
      </c>
      <c r="C14" s="102" t="inlineStr">
        <is>
          <t>General Ward — 1 Day</t>
        </is>
      </c>
      <c r="D14" s="101" t="inlineStr">
        <is>
          <t>Day</t>
        </is>
      </c>
      <c r="E14" s="101" t="n">
        <v>1</v>
      </c>
      <c r="F14" s="103" t="n">
        <v>1000</v>
      </c>
      <c r="G14" s="103" t="n">
        <v>1000</v>
      </c>
      <c r="H14" s="102" t="inlineStr">
        <is>
          <t>—</t>
        </is>
      </c>
      <c r="I14" s="102" t="inlineStr">
        <is>
          <t>—</t>
        </is>
      </c>
      <c r="J14" s="104" t="inlineStr">
        <is>
          <t>Fixed hospital rate</t>
        </is>
      </c>
    </row>
    <row r="16" ht="15" customHeight="1" s="66">
      <c r="A16" s="105" t="inlineStr">
        <is>
          <t xml:space="preserve">  SECTION C — OT / PROCEDURE CHARGES</t>
        </is>
      </c>
    </row>
    <row r="17" ht="13.5" customHeight="1" s="66">
      <c r="A17" s="106" t="n">
        <v>1</v>
      </c>
      <c r="B17" s="107" t="inlineStr">
        <is>
          <t>OT / Procedure Charges</t>
        </is>
      </c>
      <c r="C17" s="107" t="inlineStr">
        <is>
          <t>Per procedure</t>
        </is>
      </c>
      <c r="D17" s="106" t="inlineStr">
        <is>
          <t>—</t>
        </is>
      </c>
      <c r="E17" s="106" t="n">
        <v>1</v>
      </c>
      <c r="F17" s="108" t="n">
        <v>1500</v>
      </c>
      <c r="G17" s="108" t="n">
        <v>1500</v>
      </c>
      <c r="H17" s="107" t="inlineStr">
        <is>
          <t>—</t>
        </is>
      </c>
      <c r="I17" s="107" t="inlineStr">
        <is>
          <t>—</t>
        </is>
      </c>
      <c r="J17" s="109" t="inlineStr">
        <is>
          <t>Fixed hospital rate</t>
        </is>
      </c>
    </row>
    <row r="19" ht="21.75" customHeight="1" s="66">
      <c r="A19" s="110" t="inlineStr">
        <is>
          <t>GRAND TOTAL PATIENT BILL</t>
        </is>
      </c>
      <c r="B19" s="111" t="n"/>
      <c r="C19" s="111" t="n"/>
      <c r="D19" s="111" t="n"/>
      <c r="E19" s="111" t="n"/>
      <c r="F19" s="111" t="n"/>
      <c r="G19" s="112" t="n">
        <v>3083</v>
      </c>
      <c r="H19" s="113" t="inlineStr">
        <is>
          <t>Total Cost: ₹315.02  |  Margin: ₹2,767.98</t>
        </is>
      </c>
      <c r="I19" s="111" t="n"/>
      <c r="J19" s="114" t="n"/>
    </row>
    <row r="21" ht="18" customHeight="1" s="66">
      <c r="A21" s="115" t="inlineStr">
        <is>
          <t xml:space="preserve">  🟡 Amber rows = estimated MRP (market/proxy rate); cost shown as 30% below MRP.   🔴 Red rows = MRP not found; enter manually.   White/blue rows = actual invoice MRP.</t>
        </is>
      </c>
    </row>
    <row r="22" ht="18" customHeight="1" s="66">
      <c r="A22" s="116" t="inlineStr">
        <is>
          <t>⚠ 1 item(s) without MRP: Cap + Mask</t>
        </is>
      </c>
    </row>
  </sheetData>
  <mergeCells count="12">
    <mergeCell ref="A1:J1"/>
    <mergeCell ref="A11:F11"/>
    <mergeCell ref="A19:F19"/>
    <mergeCell ref="A22:J22"/>
    <mergeCell ref="E2:F2"/>
    <mergeCell ref="I2:J2"/>
    <mergeCell ref="A3:J3"/>
    <mergeCell ref="A21:J21"/>
    <mergeCell ref="H19:I19"/>
    <mergeCell ref="A2:D2"/>
    <mergeCell ref="A16:J16"/>
    <mergeCell ref="A13:J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92D050"/>
    <outlinePr summaryBelow="1" summaryRight="1"/>
    <pageSetUpPr fitToPage="0"/>
  </sheetPr>
  <dimension ref="A1:J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15" activePane="bottomLeft" state="frozen"/>
      <selection pane="topLeft" activeCell="A1" activeCellId="0" sqref="A1"/>
      <selection pane="bottomLeft" activeCell="B27" activeCellId="0" sqref="B27"/>
    </sheetView>
  </sheetViews>
  <sheetFormatPr baseColWidth="8" defaultColWidth="8.6328125" defaultRowHeight="14.25" zeroHeight="0" outlineLevelRow="0"/>
  <cols>
    <col width="5" customWidth="1" style="65" min="1" max="1"/>
    <col width="30" customWidth="1" style="65" min="2" max="2"/>
    <col width="20" customWidth="1" style="65" min="3" max="3"/>
    <col width="9" customWidth="1" style="65" min="4" max="4"/>
    <col width="6" customWidth="1" style="65" min="5" max="5"/>
    <col width="14" customWidth="1" style="65" min="6" max="6"/>
    <col width="15" customWidth="1" style="65" min="7" max="7"/>
    <col width="14" customWidth="1" style="65" min="8" max="8"/>
    <col width="15" customWidth="1" style="65" min="9" max="9"/>
    <col width="22" customWidth="1" style="65" min="10" max="10"/>
  </cols>
  <sheetData>
    <row r="1" ht="21.75" customHeight="1" s="66">
      <c r="A1" s="78" t="inlineStr">
        <is>
          <t>BK ADITYA MULTISPECIALTY HOSPITAL — PATIENT BILL</t>
        </is>
      </c>
    </row>
    <row r="2" ht="18" customHeight="1" s="66">
      <c r="A2" s="79" t="inlineStr">
        <is>
          <t>Patient: Chintapalli Vishal</t>
        </is>
      </c>
      <c r="E2" s="80" t="inlineStr">
        <is>
          <t>Doctor: Dr. S. Gupta</t>
        </is>
      </c>
      <c r="G2" s="80" t="inlineStr">
        <is>
          <t>Date: 01/04/2026</t>
        </is>
      </c>
      <c r="H2" s="80" t="inlineStr">
        <is>
          <t>Indent: 63</t>
        </is>
      </c>
      <c r="I2" s="80" t="inlineStr">
        <is>
          <t>Type: OT+Ward</t>
        </is>
      </c>
    </row>
    <row r="3" ht="15" customHeight="1" s="66">
      <c r="A3" s="81" t="inlineStr">
        <is>
          <t xml:space="preserve">  SECTION A — CONSUMABLES &amp; MEDICINES</t>
        </is>
      </c>
    </row>
    <row r="4" ht="30" customHeight="1" s="66">
      <c r="A4" s="82" t="inlineStr">
        <is>
          <t>Sl</t>
        </is>
      </c>
      <c r="B4" s="82" t="inlineStr">
        <is>
          <t>Item Name</t>
        </is>
      </c>
      <c r="C4" s="82" t="inlineStr">
        <is>
          <t>Specification</t>
        </is>
      </c>
      <c r="D4" s="82" t="inlineStr">
        <is>
          <t>Unit</t>
        </is>
      </c>
      <c r="E4" s="82" t="inlineStr">
        <is>
          <t>Qty</t>
        </is>
      </c>
      <c r="F4" s="82" t="inlineStr">
        <is>
          <t>MRP/Unit (₹)</t>
        </is>
      </c>
      <c r="G4" s="82" t="inlineStr">
        <is>
          <t>Charge @MRP (₹)</t>
        </is>
      </c>
      <c r="H4" s="82" t="inlineStr">
        <is>
          <t>Cost/Unit (₹)</t>
        </is>
      </c>
      <c r="I4" s="82" t="inlineStr">
        <is>
          <t>Cost Total (₹)</t>
        </is>
      </c>
      <c r="J4" s="82" t="inlineStr">
        <is>
          <t>Source / Remarks</t>
        </is>
      </c>
    </row>
    <row r="5" ht="13.5" customHeight="1" s="66">
      <c r="A5" s="83" t="n">
        <v>1</v>
      </c>
      <c r="B5" s="84" t="inlineStr">
        <is>
          <t>Inj. Termin</t>
        </is>
      </c>
      <c r="C5" s="84" t="inlineStr">
        <is>
          <t>Terbutaline</t>
        </is>
      </c>
      <c r="D5" s="83" t="inlineStr">
        <is>
          <t>No.</t>
        </is>
      </c>
      <c r="E5" s="83" t="n">
        <v>1</v>
      </c>
      <c r="F5" s="85" t="n">
        <v>390.4</v>
      </c>
      <c r="G5" s="85" t="n">
        <v>390.4</v>
      </c>
      <c r="H5" s="85" t="n">
        <v>304.76</v>
      </c>
      <c r="I5" s="85" t="n">
        <v>304.76</v>
      </c>
      <c r="J5" s="84" t="inlineStr">
        <is>
          <t>SSB S000092</t>
        </is>
      </c>
    </row>
    <row r="6" ht="13.5" customHeight="1" s="66">
      <c r="A6" s="86" t="n">
        <v>2</v>
      </c>
      <c r="B6" s="87" t="inlineStr">
        <is>
          <t>Inj. Lasix 4ml</t>
        </is>
      </c>
      <c r="C6" s="87" t="inlineStr">
        <is>
          <t>Furosemide</t>
        </is>
      </c>
      <c r="D6" s="86" t="inlineStr">
        <is>
          <t>No.</t>
        </is>
      </c>
      <c r="E6" s="86" t="n">
        <v>1</v>
      </c>
      <c r="F6" s="88" t="n">
        <v>12.76</v>
      </c>
      <c r="G6" s="88" t="n">
        <v>12.76</v>
      </c>
      <c r="H6" s="88" t="n">
        <v>10.21</v>
      </c>
      <c r="I6" s="88" t="n">
        <v>10.21</v>
      </c>
      <c r="J6" s="87" t="inlineStr">
        <is>
          <t>SSB S000068</t>
        </is>
      </c>
    </row>
    <row r="7" ht="13.5" customHeight="1" s="66">
      <c r="A7" s="83" t="n">
        <v>3</v>
      </c>
      <c r="B7" s="84" t="inlineStr">
        <is>
          <t>Gauze</t>
        </is>
      </c>
      <c r="C7" s="84" t="inlineStr">
        <is>
          <t>Sterile</t>
        </is>
      </c>
      <c r="D7" s="83" t="inlineStr">
        <is>
          <t>No.</t>
        </is>
      </c>
      <c r="E7" s="83" t="n">
        <v>6</v>
      </c>
      <c r="F7" s="85" t="n">
        <v>14</v>
      </c>
      <c r="G7" s="85" t="n">
        <v>84</v>
      </c>
      <c r="H7" s="85" t="n">
        <v>5.46</v>
      </c>
      <c r="I7" s="85" t="n">
        <v>32.76</v>
      </c>
      <c r="J7" s="84" t="inlineStr">
        <is>
          <t>Vivek F-747</t>
        </is>
      </c>
    </row>
    <row r="8" ht="13.5" customHeight="1" s="66">
      <c r="A8" s="86" t="n">
        <v>4</v>
      </c>
      <c r="B8" s="87" t="inlineStr">
        <is>
          <t>Spinal Needle 25G</t>
        </is>
      </c>
      <c r="C8" s="87" t="n"/>
      <c r="D8" s="86" t="inlineStr">
        <is>
          <t>No.</t>
        </is>
      </c>
      <c r="E8" s="86" t="n">
        <v>2</v>
      </c>
      <c r="F8" s="88" t="n">
        <v>153</v>
      </c>
      <c r="G8" s="88" t="n">
        <v>306</v>
      </c>
      <c r="H8" s="88" t="n">
        <v>74.29000000000001</v>
      </c>
      <c r="I8" s="88" t="n">
        <v>148.58</v>
      </c>
      <c r="J8" s="87" t="inlineStr">
        <is>
          <t>SSB S000068</t>
        </is>
      </c>
    </row>
    <row r="9" ht="13.5" customHeight="1" s="66">
      <c r="A9" s="83" t="n">
        <v>5</v>
      </c>
      <c r="B9" s="84" t="inlineStr">
        <is>
          <t>Inj. Anawin Heavy 4ml</t>
        </is>
      </c>
      <c r="C9" s="84" t="inlineStr">
        <is>
          <t>Bupivacaine Heavy</t>
        </is>
      </c>
      <c r="D9" s="83" t="inlineStr">
        <is>
          <t>No.</t>
        </is>
      </c>
      <c r="E9" s="83" t="n">
        <v>2</v>
      </c>
      <c r="F9" s="85" t="n">
        <v>31.47</v>
      </c>
      <c r="G9" s="85" t="n">
        <v>62.94</v>
      </c>
      <c r="H9" s="85" t="n">
        <v>24.76</v>
      </c>
      <c r="I9" s="85" t="n">
        <v>49.52</v>
      </c>
      <c r="J9" s="84" t="inlineStr">
        <is>
          <t>SSB S000092</t>
        </is>
      </c>
    </row>
    <row r="10" ht="13.5" customHeight="1" s="66">
      <c r="A10" s="86" t="n">
        <v>6</v>
      </c>
      <c r="B10" s="87" t="inlineStr">
        <is>
          <t>Inj. Monocef 1g</t>
        </is>
      </c>
      <c r="C10" s="87" t="inlineStr">
        <is>
          <t>Ceftriaxone</t>
        </is>
      </c>
      <c r="D10" s="86" t="inlineStr">
        <is>
          <t>No.</t>
        </is>
      </c>
      <c r="E10" s="86" t="n">
        <v>1</v>
      </c>
      <c r="F10" s="88" t="n">
        <v>66.64</v>
      </c>
      <c r="G10" s="88" t="n">
        <v>66.64</v>
      </c>
      <c r="H10" s="88" t="n">
        <v>25.71</v>
      </c>
      <c r="I10" s="88" t="n">
        <v>25.71</v>
      </c>
      <c r="J10" s="87" t="inlineStr">
        <is>
          <t>SSB S000068</t>
        </is>
      </c>
    </row>
    <row r="11" ht="13.5" customHeight="1" s="66">
      <c r="A11" s="83" t="n">
        <v>7</v>
      </c>
      <c r="B11" s="84" t="inlineStr">
        <is>
          <t>Inj. Pan 40</t>
        </is>
      </c>
      <c r="C11" s="84" t="inlineStr">
        <is>
          <t>Pantoprazole</t>
        </is>
      </c>
      <c r="D11" s="83" t="inlineStr">
        <is>
          <t>No.</t>
        </is>
      </c>
      <c r="E11" s="83" t="n">
        <v>1</v>
      </c>
      <c r="F11" s="85" t="n">
        <v>53.9</v>
      </c>
      <c r="G11" s="85" t="n">
        <v>53.9</v>
      </c>
      <c r="H11" s="85" t="n">
        <v>41.07</v>
      </c>
      <c r="I11" s="85" t="n">
        <v>41.07</v>
      </c>
      <c r="J11" s="84" t="inlineStr">
        <is>
          <t>SSB S000135</t>
        </is>
      </c>
    </row>
    <row r="12" ht="13.5" customHeight="1" s="66">
      <c r="A12" s="86" t="n">
        <v>8</v>
      </c>
      <c r="B12" s="87" t="inlineStr">
        <is>
          <t>Inj. Ondem 4mg</t>
        </is>
      </c>
      <c r="C12" s="87" t="inlineStr">
        <is>
          <t>Ondansetron</t>
        </is>
      </c>
      <c r="D12" s="86" t="inlineStr">
        <is>
          <t>No.</t>
        </is>
      </c>
      <c r="E12" s="86" t="n">
        <v>1</v>
      </c>
      <c r="F12" s="88" t="n">
        <v>12.72</v>
      </c>
      <c r="G12" s="88" t="n">
        <v>12.72</v>
      </c>
      <c r="H12" s="88" t="n">
        <v>4.85</v>
      </c>
      <c r="I12" s="88" t="n">
        <v>4.85</v>
      </c>
      <c r="J12" s="87" t="inlineStr">
        <is>
          <t>SSB S000068</t>
        </is>
      </c>
    </row>
    <row r="13" ht="13.5" customHeight="1" s="66">
      <c r="A13" s="83" t="n">
        <v>9</v>
      </c>
      <c r="B13" s="84" t="inlineStr">
        <is>
          <t>IV Set</t>
        </is>
      </c>
      <c r="C13" s="84" t="n"/>
      <c r="D13" s="83" t="inlineStr">
        <is>
          <t>No.</t>
        </is>
      </c>
      <c r="E13" s="83" t="n">
        <v>1</v>
      </c>
      <c r="F13" s="85" t="n">
        <v>201</v>
      </c>
      <c r="G13" s="85" t="n">
        <v>201</v>
      </c>
      <c r="H13" s="85" t="n">
        <v>10.48</v>
      </c>
      <c r="I13" s="85" t="n">
        <v>10.48</v>
      </c>
      <c r="J13" s="84" t="inlineStr">
        <is>
          <t>SSB S000069</t>
        </is>
      </c>
    </row>
    <row r="14" ht="13.5" customHeight="1" s="66">
      <c r="A14" s="86" t="n">
        <v>10</v>
      </c>
      <c r="B14" s="87" t="inlineStr">
        <is>
          <t>Venflon 20G</t>
        </is>
      </c>
      <c r="C14" s="87" t="inlineStr">
        <is>
          <t>IV Cannula</t>
        </is>
      </c>
      <c r="D14" s="86" t="inlineStr">
        <is>
          <t>No.</t>
        </is>
      </c>
      <c r="E14" s="86" t="n">
        <v>1</v>
      </c>
      <c r="F14" s="88" t="n">
        <v>202.55</v>
      </c>
      <c r="G14" s="88" t="n">
        <v>202.55</v>
      </c>
      <c r="H14" s="88" t="n">
        <v>7.14</v>
      </c>
      <c r="I14" s="88" t="n">
        <v>7.14</v>
      </c>
      <c r="J14" s="87" t="inlineStr">
        <is>
          <t>SSB S000069</t>
        </is>
      </c>
    </row>
    <row r="15" ht="13.5" customHeight="1" s="66">
      <c r="A15" s="83" t="n">
        <v>11</v>
      </c>
      <c r="B15" s="84" t="inlineStr">
        <is>
          <t>Betadine Lotion 100ml</t>
        </is>
      </c>
      <c r="C15" s="84" t="inlineStr">
        <is>
          <t>Povidone-Iodine</t>
        </is>
      </c>
      <c r="D15" s="83" t="inlineStr">
        <is>
          <t>No.</t>
        </is>
      </c>
      <c r="E15" s="83" t="n">
        <v>1</v>
      </c>
      <c r="F15" s="85" t="n">
        <v>236.25</v>
      </c>
      <c r="G15" s="85" t="n">
        <v>236.25</v>
      </c>
      <c r="H15" s="85" t="n">
        <v>200</v>
      </c>
      <c r="I15" s="85" t="n">
        <v>200</v>
      </c>
      <c r="J15" s="84" t="inlineStr">
        <is>
          <t>SSB S000069</t>
        </is>
      </c>
    </row>
    <row r="16" ht="13.5" customHeight="1" s="66">
      <c r="A16" s="86" t="n">
        <v>12</v>
      </c>
      <c r="B16" s="87" t="inlineStr">
        <is>
          <t>Lox 2% Jelly</t>
        </is>
      </c>
      <c r="C16" s="87" t="inlineStr">
        <is>
          <t>Lignocaine Jelly</t>
        </is>
      </c>
      <c r="D16" s="86" t="inlineStr">
        <is>
          <t>No.</t>
        </is>
      </c>
      <c r="E16" s="86" t="n">
        <v>1</v>
      </c>
      <c r="F16" s="88" t="n">
        <v>37.95</v>
      </c>
      <c r="G16" s="88" t="n">
        <v>37.95</v>
      </c>
      <c r="H16" s="88" t="n">
        <v>27</v>
      </c>
      <c r="I16" s="88" t="n">
        <v>27</v>
      </c>
      <c r="J16" s="87" t="inlineStr">
        <is>
          <t>Vivek F-748</t>
        </is>
      </c>
    </row>
    <row r="17" ht="13.5" customHeight="1" s="66">
      <c r="A17" s="83" t="n">
        <v>13</v>
      </c>
      <c r="B17" s="84" t="inlineStr">
        <is>
          <t>Inj. Atropine</t>
        </is>
      </c>
      <c r="C17" s="84" t="n"/>
      <c r="D17" s="83" t="inlineStr">
        <is>
          <t>No.</t>
        </is>
      </c>
      <c r="E17" s="83" t="n">
        <v>1</v>
      </c>
      <c r="F17" s="85" t="n">
        <v>7.3</v>
      </c>
      <c r="G17" s="85" t="n">
        <v>7.3</v>
      </c>
      <c r="H17" s="85" t="n">
        <v>5.71</v>
      </c>
      <c r="I17" s="85" t="n">
        <v>5.71</v>
      </c>
      <c r="J17" s="84" t="inlineStr">
        <is>
          <t>SSB S000068</t>
        </is>
      </c>
    </row>
    <row r="18" ht="13.5" customHeight="1" s="66">
      <c r="A18" s="86" t="n">
        <v>14</v>
      </c>
      <c r="B18" s="87" t="inlineStr">
        <is>
          <t>NS 1000ml</t>
        </is>
      </c>
      <c r="C18" s="87" t="inlineStr">
        <is>
          <t>Normal Saline 1L</t>
        </is>
      </c>
      <c r="D18" s="86" t="inlineStr">
        <is>
          <t>No.</t>
        </is>
      </c>
      <c r="E18" s="86" t="n">
        <v>3</v>
      </c>
      <c r="F18" s="88" t="n">
        <v>62.22</v>
      </c>
      <c r="G18" s="88" t="n">
        <v>186.66</v>
      </c>
      <c r="H18" s="88" t="n">
        <v>30.48</v>
      </c>
      <c r="I18" s="88" t="n">
        <v>91.44</v>
      </c>
      <c r="J18" s="87" t="inlineStr">
        <is>
          <t>SSB S000197/F748</t>
        </is>
      </c>
    </row>
    <row r="19" ht="13.5" customHeight="1" s="66">
      <c r="A19" s="83" t="n">
        <v>15</v>
      </c>
      <c r="B19" s="84" t="inlineStr">
        <is>
          <t>NS 500ml</t>
        </is>
      </c>
      <c r="C19" s="84" t="inlineStr">
        <is>
          <t>Normal Saline</t>
        </is>
      </c>
      <c r="D19" s="83" t="inlineStr">
        <is>
          <t>No.</t>
        </is>
      </c>
      <c r="E19" s="83" t="n">
        <v>2</v>
      </c>
      <c r="F19" s="85" t="n">
        <v>39.05</v>
      </c>
      <c r="G19" s="85" t="n">
        <v>78.09999999999999</v>
      </c>
      <c r="H19" s="85" t="n">
        <v>16.67</v>
      </c>
      <c r="I19" s="85" t="n">
        <v>33.34</v>
      </c>
      <c r="J19" s="84" t="inlineStr">
        <is>
          <t>SSB S000068</t>
        </is>
      </c>
    </row>
    <row r="20" ht="13.5" customHeight="1" s="66">
      <c r="A20" s="86" t="n">
        <v>16</v>
      </c>
      <c r="B20" s="87" t="inlineStr">
        <is>
          <t>RL 500ml</t>
        </is>
      </c>
      <c r="C20" s="87" t="inlineStr">
        <is>
          <t>Ringer's Lactate</t>
        </is>
      </c>
      <c r="D20" s="86" t="inlineStr">
        <is>
          <t>No.</t>
        </is>
      </c>
      <c r="E20" s="86" t="n">
        <v>2</v>
      </c>
      <c r="F20" s="88" t="n">
        <v>63.3</v>
      </c>
      <c r="G20" s="88" t="n">
        <v>126.6</v>
      </c>
      <c r="H20" s="88" t="n">
        <v>17.62</v>
      </c>
      <c r="I20" s="88" t="n">
        <v>35.24</v>
      </c>
      <c r="J20" s="87" t="inlineStr">
        <is>
          <t>SSB S000068</t>
        </is>
      </c>
    </row>
    <row r="21" ht="13.5" customHeight="1" s="66">
      <c r="A21" s="83" t="n">
        <v>17</v>
      </c>
      <c r="B21" s="84" t="inlineStr">
        <is>
          <t>Foley Catheter 16 No.</t>
        </is>
      </c>
      <c r="C21" s="84" t="n"/>
      <c r="D21" s="83" t="inlineStr">
        <is>
          <t>No.</t>
        </is>
      </c>
      <c r="E21" s="83" t="n">
        <v>1</v>
      </c>
      <c r="F21" s="85" t="n">
        <v>174</v>
      </c>
      <c r="G21" s="85" t="n">
        <v>174</v>
      </c>
      <c r="H21" s="85" t="n">
        <v>120.95</v>
      </c>
      <c r="I21" s="85" t="n">
        <v>120.95</v>
      </c>
      <c r="J21" s="84" t="inlineStr">
        <is>
          <t>Vivek F-684</t>
        </is>
      </c>
    </row>
    <row r="22" ht="13.5" customHeight="1" s="66">
      <c r="A22" s="86" t="n">
        <v>18</v>
      </c>
      <c r="B22" s="87" t="inlineStr">
        <is>
          <t>Uro Bag</t>
        </is>
      </c>
      <c r="C22" s="87" t="n"/>
      <c r="D22" s="86" t="inlineStr">
        <is>
          <t>No.</t>
        </is>
      </c>
      <c r="E22" s="86" t="n">
        <v>1</v>
      </c>
      <c r="F22" s="88" t="n">
        <v>361</v>
      </c>
      <c r="G22" s="88" t="n">
        <v>361</v>
      </c>
      <c r="H22" s="88" t="n">
        <v>29.05</v>
      </c>
      <c r="I22" s="88" t="n">
        <v>29.05</v>
      </c>
      <c r="J22" s="87" t="inlineStr">
        <is>
          <t>SSB S000069</t>
        </is>
      </c>
    </row>
    <row r="23" ht="13.5" customHeight="1" s="66">
      <c r="A23" s="83" t="n">
        <v>19</v>
      </c>
      <c r="B23" s="84" t="inlineStr">
        <is>
          <t>Syringe 10cc</t>
        </is>
      </c>
      <c r="C23" s="84" t="n"/>
      <c r="D23" s="83" t="inlineStr">
        <is>
          <t>No.</t>
        </is>
      </c>
      <c r="E23" s="83" t="n">
        <v>3</v>
      </c>
      <c r="F23" s="85" t="n">
        <v>20</v>
      </c>
      <c r="G23" s="85" t="n">
        <v>60</v>
      </c>
      <c r="H23" s="85" t="n">
        <v>3.76</v>
      </c>
      <c r="I23" s="85" t="n">
        <v>11.28</v>
      </c>
      <c r="J23" s="84" t="inlineStr">
        <is>
          <t>SSB S000069</t>
        </is>
      </c>
    </row>
    <row r="24" ht="13.5" customHeight="1" s="66">
      <c r="A24" s="86" t="n">
        <v>20</v>
      </c>
      <c r="B24" s="87" t="inlineStr">
        <is>
          <t>Syringe 5cc</t>
        </is>
      </c>
      <c r="C24" s="87" t="n"/>
      <c r="D24" s="86" t="inlineStr">
        <is>
          <t>No.</t>
        </is>
      </c>
      <c r="E24" s="86" t="n">
        <v>2</v>
      </c>
      <c r="F24" s="88" t="n">
        <v>10.23</v>
      </c>
      <c r="G24" s="88" t="n">
        <v>20.46</v>
      </c>
      <c r="H24" s="88" t="n">
        <v>2.38</v>
      </c>
      <c r="I24" s="88" t="n">
        <v>4.76</v>
      </c>
      <c r="J24" s="87" t="inlineStr">
        <is>
          <t>SSB S000069</t>
        </is>
      </c>
    </row>
    <row r="25" ht="13.5" customHeight="1" s="66">
      <c r="A25" s="83" t="n">
        <v>21</v>
      </c>
      <c r="B25" s="84" t="inlineStr">
        <is>
          <t>Syringe 2cc</t>
        </is>
      </c>
      <c r="C25" s="84" t="n"/>
      <c r="D25" s="83" t="inlineStr">
        <is>
          <t>No.</t>
        </is>
      </c>
      <c r="E25" s="83" t="n">
        <v>2</v>
      </c>
      <c r="F25" s="85" t="n">
        <v>6.04</v>
      </c>
      <c r="G25" s="85" t="n">
        <v>12.08</v>
      </c>
      <c r="H25" s="85" t="n">
        <v>1.9</v>
      </c>
      <c r="I25" s="85" t="n">
        <v>3.8</v>
      </c>
      <c r="J25" s="84" t="inlineStr">
        <is>
          <t>SSB S000069</t>
        </is>
      </c>
    </row>
    <row r="26" ht="13.5" customHeight="1" s="66">
      <c r="A26" s="86" t="n">
        <v>22</v>
      </c>
      <c r="B26" s="87" t="inlineStr">
        <is>
          <t>D/Water 10ml</t>
        </is>
      </c>
      <c r="C26" s="87" t="inlineStr">
        <is>
          <t>Sterile water</t>
        </is>
      </c>
      <c r="D26" s="86" t="inlineStr">
        <is>
          <t>No.</t>
        </is>
      </c>
      <c r="E26" s="86" t="n">
        <v>2</v>
      </c>
      <c r="F26" s="88" t="n">
        <v>3.24</v>
      </c>
      <c r="G26" s="88" t="n">
        <v>6.48</v>
      </c>
      <c r="H26" s="88" t="n">
        <v>2.51</v>
      </c>
      <c r="I26" s="88" t="n">
        <v>5.02</v>
      </c>
      <c r="J26" s="87" t="inlineStr">
        <is>
          <t>Vivek F-747</t>
        </is>
      </c>
    </row>
    <row r="27" ht="13.5" customHeight="1" s="66">
      <c r="A27" s="83" t="n">
        <v>23</v>
      </c>
      <c r="B27" s="84" t="inlineStr">
        <is>
          <t>Gloves 7 No.</t>
        </is>
      </c>
      <c r="C27" s="84" t="inlineStr">
        <is>
          <t>Surgical sterile</t>
        </is>
      </c>
      <c r="D27" s="83" t="inlineStr">
        <is>
          <t>No.</t>
        </is>
      </c>
      <c r="E27" s="83" t="n">
        <v>3</v>
      </c>
      <c r="F27" s="85" t="n">
        <v>91</v>
      </c>
      <c r="G27" s="85" t="n">
        <v>273</v>
      </c>
      <c r="H27" s="85" t="n">
        <v>19.06</v>
      </c>
      <c r="I27" s="85" t="n">
        <v>57.18</v>
      </c>
      <c r="J27" s="84" t="inlineStr">
        <is>
          <t>Vivek F-747</t>
        </is>
      </c>
    </row>
    <row r="28" ht="15.75" customHeight="1" s="66">
      <c r="A28" s="96" t="inlineStr">
        <is>
          <t xml:space="preserve">  Subtotal — Consumables / Medicines</t>
        </is>
      </c>
      <c r="B28" s="97" t="n"/>
      <c r="C28" s="97" t="n"/>
      <c r="D28" s="97" t="n"/>
      <c r="E28" s="97" t="n"/>
      <c r="F28" s="97" t="n"/>
      <c r="G28" s="98" t="n">
        <v>2972.79</v>
      </c>
      <c r="H28" s="99" t="n"/>
      <c r="I28" s="98" t="n">
        <v>1259.85</v>
      </c>
      <c r="J28" s="99" t="n"/>
    </row>
    <row r="30" ht="15" customHeight="1" s="66">
      <c r="A30" s="100" t="inlineStr">
        <is>
          <t xml:space="preserve">  SECTION B — ROOM / BED CHARGES</t>
        </is>
      </c>
    </row>
    <row r="31" ht="13.5" customHeight="1" s="66">
      <c r="A31" s="101" t="n">
        <v>1</v>
      </c>
      <c r="B31" s="102" t="inlineStr">
        <is>
          <t>Bed / Room Charges</t>
        </is>
      </c>
      <c r="C31" s="102" t="inlineStr">
        <is>
          <t>General Ward — 1 Day</t>
        </is>
      </c>
      <c r="D31" s="101" t="inlineStr">
        <is>
          <t>Day</t>
        </is>
      </c>
      <c r="E31" s="101" t="n">
        <v>1</v>
      </c>
      <c r="F31" s="103" t="n">
        <v>1000</v>
      </c>
      <c r="G31" s="103" t="n">
        <v>1000</v>
      </c>
      <c r="H31" s="102" t="inlineStr">
        <is>
          <t>—</t>
        </is>
      </c>
      <c r="I31" s="102" t="inlineStr">
        <is>
          <t>—</t>
        </is>
      </c>
      <c r="J31" s="104" t="inlineStr">
        <is>
          <t>Fixed hospital rate</t>
        </is>
      </c>
    </row>
    <row r="33" ht="15" customHeight="1" s="66">
      <c r="A33" s="105" t="inlineStr">
        <is>
          <t xml:space="preserve">  SECTION C — OT / PROCEDURE CHARGES</t>
        </is>
      </c>
    </row>
    <row r="34" ht="13.5" customHeight="1" s="66">
      <c r="A34" s="106" t="n">
        <v>1</v>
      </c>
      <c r="B34" s="107" t="inlineStr">
        <is>
          <t>OT / Procedure Charges</t>
        </is>
      </c>
      <c r="C34" s="107" t="inlineStr">
        <is>
          <t>Per procedure</t>
        </is>
      </c>
      <c r="D34" s="106" t="inlineStr">
        <is>
          <t>—</t>
        </is>
      </c>
      <c r="E34" s="106" t="n">
        <v>1</v>
      </c>
      <c r="F34" s="108" t="n">
        <v>1500</v>
      </c>
      <c r="G34" s="108" t="n">
        <v>1500</v>
      </c>
      <c r="H34" s="107" t="inlineStr">
        <is>
          <t>—</t>
        </is>
      </c>
      <c r="I34" s="107" t="inlineStr">
        <is>
          <t>—</t>
        </is>
      </c>
      <c r="J34" s="109" t="inlineStr">
        <is>
          <t>Fixed hospital rate</t>
        </is>
      </c>
    </row>
    <row r="36" ht="21.75" customHeight="1" s="66">
      <c r="A36" s="110" t="inlineStr">
        <is>
          <t>GRAND TOTAL PATIENT BILL</t>
        </is>
      </c>
      <c r="B36" s="111" t="n"/>
      <c r="C36" s="111" t="n"/>
      <c r="D36" s="111" t="n"/>
      <c r="E36" s="111" t="n"/>
      <c r="F36" s="111" t="n"/>
      <c r="G36" s="112" t="n">
        <v>5472.79</v>
      </c>
      <c r="H36" s="113" t="inlineStr">
        <is>
          <t>Total Cost: ₹1,259.85  |  Margin: ₹4,212.94</t>
        </is>
      </c>
      <c r="I36" s="111" t="n"/>
      <c r="J36" s="114" t="n"/>
    </row>
    <row r="38" ht="18" customHeight="1" s="66">
      <c r="A38" s="115" t="inlineStr">
        <is>
          <t xml:space="preserve">  🟡 Amber rows = estimated MRP (market/proxy rate); cost shown as 30% below MRP.   🔴 Red rows = MRP not found; enter manually.   White/blue rows = actual invoice MRP.</t>
        </is>
      </c>
    </row>
  </sheetData>
  <mergeCells count="11">
    <mergeCell ref="A1:J1"/>
    <mergeCell ref="A28:F28"/>
    <mergeCell ref="A36:F36"/>
    <mergeCell ref="E2:F2"/>
    <mergeCell ref="I2:J2"/>
    <mergeCell ref="A3:J3"/>
    <mergeCell ref="A30:J30"/>
    <mergeCell ref="A2:D2"/>
    <mergeCell ref="H36:I36"/>
    <mergeCell ref="A38:J38"/>
    <mergeCell ref="A33:J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92D050"/>
    <outlinePr summaryBelow="1" summaryRight="1"/>
    <pageSetUpPr fitToPage="0"/>
  </sheetPr>
  <dimension ref="A1:J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21" activePane="bottomLeft" state="frozen"/>
      <selection pane="topLeft" activeCell="A1" activeCellId="0" sqref="A1"/>
      <selection pane="bottomLeft" activeCell="A33" activeCellId="0" sqref="A33"/>
    </sheetView>
  </sheetViews>
  <sheetFormatPr baseColWidth="8" defaultColWidth="8.6328125" defaultRowHeight="14.25" zeroHeight="0" outlineLevelRow="0"/>
  <cols>
    <col width="5" customWidth="1" style="65" min="1" max="1"/>
    <col width="30" customWidth="1" style="65" min="2" max="2"/>
    <col width="20" customWidth="1" style="65" min="3" max="3"/>
    <col width="9" customWidth="1" style="65" min="4" max="4"/>
    <col width="6" customWidth="1" style="65" min="5" max="5"/>
    <col width="14" customWidth="1" style="65" min="6" max="6"/>
    <col width="15" customWidth="1" style="65" min="7" max="7"/>
    <col width="14" customWidth="1" style="65" min="8" max="8"/>
    <col width="15" customWidth="1" style="65" min="9" max="9"/>
    <col width="22" customWidth="1" style="65" min="10" max="10"/>
  </cols>
  <sheetData>
    <row r="1" ht="21.75" customHeight="1" s="66">
      <c r="A1" s="78" t="inlineStr">
        <is>
          <t>BK ADITYA MULTISPECIALTY HOSPITAL — PATIENT BILL</t>
        </is>
      </c>
    </row>
    <row r="2" ht="18" customHeight="1" s="66">
      <c r="A2" s="79" t="inlineStr">
        <is>
          <t>Patient: Babita Barman</t>
        </is>
      </c>
      <c r="E2" s="80" t="inlineStr">
        <is>
          <t>Doctor: Dr. S. Gupta</t>
        </is>
      </c>
      <c r="G2" s="80" t="inlineStr">
        <is>
          <t>Date: 05/02/2026</t>
        </is>
      </c>
      <c r="H2" s="80" t="inlineStr">
        <is>
          <t>Indent: OT</t>
        </is>
      </c>
      <c r="I2" s="80" t="inlineStr">
        <is>
          <t>Type: OT</t>
        </is>
      </c>
    </row>
    <row r="3" ht="15" customHeight="1" s="66">
      <c r="A3" s="81" t="inlineStr">
        <is>
          <t xml:space="preserve">  SECTION A — CONSUMABLES &amp; MEDICINES</t>
        </is>
      </c>
    </row>
    <row r="4" ht="30" customHeight="1" s="66">
      <c r="A4" s="82" t="inlineStr">
        <is>
          <t>Sl</t>
        </is>
      </c>
      <c r="B4" s="82" t="inlineStr">
        <is>
          <t>Item Name</t>
        </is>
      </c>
      <c r="C4" s="82" t="inlineStr">
        <is>
          <t>Specification</t>
        </is>
      </c>
      <c r="D4" s="82" t="inlineStr">
        <is>
          <t>Unit</t>
        </is>
      </c>
      <c r="E4" s="82" t="inlineStr">
        <is>
          <t>Qty</t>
        </is>
      </c>
      <c r="F4" s="82" t="inlineStr">
        <is>
          <t>MRP/Unit (₹)</t>
        </is>
      </c>
      <c r="G4" s="82" t="inlineStr">
        <is>
          <t>Charge @MRP (₹)</t>
        </is>
      </c>
      <c r="H4" s="82" t="inlineStr">
        <is>
          <t>Cost/Unit (₹)</t>
        </is>
      </c>
      <c r="I4" s="82" t="inlineStr">
        <is>
          <t>Cost Total (₹)</t>
        </is>
      </c>
      <c r="J4" s="82" t="inlineStr">
        <is>
          <t>Source / Remarks</t>
        </is>
      </c>
    </row>
    <row r="5" ht="13.5" customHeight="1" s="66">
      <c r="A5" s="83" t="n">
        <v>1</v>
      </c>
      <c r="B5" s="84" t="inlineStr">
        <is>
          <t>Sangoflex / IV Set</t>
        </is>
      </c>
      <c r="C5" s="84" t="inlineStr">
        <is>
          <t>IV fluid set</t>
        </is>
      </c>
      <c r="D5" s="83" t="inlineStr">
        <is>
          <t>No.</t>
        </is>
      </c>
      <c r="E5" s="83" t="n">
        <v>1</v>
      </c>
      <c r="F5" s="85" t="n">
        <v>201</v>
      </c>
      <c r="G5" s="85" t="n">
        <v>201</v>
      </c>
      <c r="H5" s="85" t="n">
        <v>10.48</v>
      </c>
      <c r="I5" s="85" t="n">
        <v>10.48</v>
      </c>
      <c r="J5" s="84" t="inlineStr">
        <is>
          <t>SSB S000069</t>
        </is>
      </c>
    </row>
    <row r="6" ht="13.5" customHeight="1" s="66">
      <c r="A6" s="86" t="n">
        <v>2</v>
      </c>
      <c r="B6" s="87" t="inlineStr">
        <is>
          <t>Vonflon 20G</t>
        </is>
      </c>
      <c r="C6" s="87" t="inlineStr">
        <is>
          <t>IV Cannula 20G</t>
        </is>
      </c>
      <c r="D6" s="86" t="inlineStr">
        <is>
          <t>No.</t>
        </is>
      </c>
      <c r="E6" s="86" t="n">
        <v>1</v>
      </c>
      <c r="F6" s="88" t="n">
        <v>202.55</v>
      </c>
      <c r="G6" s="88" t="n">
        <v>202.55</v>
      </c>
      <c r="H6" s="88" t="n">
        <v>7.14</v>
      </c>
      <c r="I6" s="88" t="n">
        <v>7.14</v>
      </c>
      <c r="J6" s="87" t="inlineStr">
        <is>
          <t>SSB S000069</t>
        </is>
      </c>
    </row>
    <row r="7" ht="13.5" customHeight="1" s="66">
      <c r="A7" s="83" t="n">
        <v>3</v>
      </c>
      <c r="B7" s="84" t="inlineStr">
        <is>
          <t>Spinocaine 25G</t>
        </is>
      </c>
      <c r="C7" s="84" t="inlineStr">
        <is>
          <t>Spinal needle</t>
        </is>
      </c>
      <c r="D7" s="83" t="inlineStr">
        <is>
          <t>No.</t>
        </is>
      </c>
      <c r="E7" s="83" t="n">
        <v>1</v>
      </c>
      <c r="F7" s="85" t="n">
        <v>153</v>
      </c>
      <c r="G7" s="85" t="n">
        <v>153</v>
      </c>
      <c r="H7" s="85" t="n">
        <v>74.29000000000001</v>
      </c>
      <c r="I7" s="85" t="n">
        <v>74.29000000000001</v>
      </c>
      <c r="J7" s="84" t="inlineStr">
        <is>
          <t>SSB S000068</t>
        </is>
      </c>
    </row>
    <row r="8" ht="13.5" customHeight="1" s="66">
      <c r="A8" s="86" t="n">
        <v>4</v>
      </c>
      <c r="B8" s="87" t="inlineStr">
        <is>
          <t>Syringe 2cc</t>
        </is>
      </c>
      <c r="C8" s="87" t="n"/>
      <c r="D8" s="86" t="inlineStr">
        <is>
          <t>No.</t>
        </is>
      </c>
      <c r="E8" s="86" t="n">
        <v>2</v>
      </c>
      <c r="F8" s="88" t="n">
        <v>6.04</v>
      </c>
      <c r="G8" s="88" t="n">
        <v>12.08</v>
      </c>
      <c r="H8" s="88" t="n">
        <v>1.9</v>
      </c>
      <c r="I8" s="88" t="n">
        <v>3.8</v>
      </c>
      <c r="J8" s="87" t="inlineStr">
        <is>
          <t>SSB S000069</t>
        </is>
      </c>
    </row>
    <row r="9" ht="13.5" customHeight="1" s="66">
      <c r="A9" s="83" t="n">
        <v>5</v>
      </c>
      <c r="B9" s="84" t="inlineStr">
        <is>
          <t>Syringe 5cc</t>
        </is>
      </c>
      <c r="C9" s="84" t="n"/>
      <c r="D9" s="83" t="inlineStr">
        <is>
          <t>No.</t>
        </is>
      </c>
      <c r="E9" s="83" t="n">
        <v>2</v>
      </c>
      <c r="F9" s="85" t="n">
        <v>10.23</v>
      </c>
      <c r="G9" s="85" t="n">
        <v>20.46</v>
      </c>
      <c r="H9" s="85" t="n">
        <v>2.38</v>
      </c>
      <c r="I9" s="85" t="n">
        <v>4.76</v>
      </c>
      <c r="J9" s="84" t="inlineStr">
        <is>
          <t>SSB S000069</t>
        </is>
      </c>
    </row>
    <row r="10" ht="13.5" customHeight="1" s="66">
      <c r="A10" s="86" t="n">
        <v>6</v>
      </c>
      <c r="B10" s="87" t="inlineStr">
        <is>
          <t>Syringe 10cc</t>
        </is>
      </c>
      <c r="C10" s="87" t="n"/>
      <c r="D10" s="86" t="inlineStr">
        <is>
          <t>No.</t>
        </is>
      </c>
      <c r="E10" s="86" t="n">
        <v>3</v>
      </c>
      <c r="F10" s="88" t="n">
        <v>20</v>
      </c>
      <c r="G10" s="88" t="n">
        <v>60</v>
      </c>
      <c r="H10" s="88" t="n">
        <v>3.76</v>
      </c>
      <c r="I10" s="88" t="n">
        <v>11.28</v>
      </c>
      <c r="J10" s="87" t="inlineStr">
        <is>
          <t>SSB S000069</t>
        </is>
      </c>
    </row>
    <row r="11" ht="13.5" customHeight="1" s="66">
      <c r="A11" s="83" t="n">
        <v>7</v>
      </c>
      <c r="B11" s="84" t="inlineStr">
        <is>
          <t>D/Water 10ml</t>
        </is>
      </c>
      <c r="C11" s="84" t="inlineStr">
        <is>
          <t>Sterile water</t>
        </is>
      </c>
      <c r="D11" s="83" t="inlineStr">
        <is>
          <t>No.</t>
        </is>
      </c>
      <c r="E11" s="83" t="n">
        <v>2</v>
      </c>
      <c r="F11" s="85" t="n">
        <v>3.24</v>
      </c>
      <c r="G11" s="85" t="n">
        <v>6.48</v>
      </c>
      <c r="H11" s="85" t="n">
        <v>2.51</v>
      </c>
      <c r="I11" s="85" t="n">
        <v>5.02</v>
      </c>
      <c r="J11" s="84" t="inlineStr">
        <is>
          <t>Vivek F-747</t>
        </is>
      </c>
    </row>
    <row r="12" ht="13.5" customHeight="1" s="66">
      <c r="A12" s="86" t="n">
        <v>8</v>
      </c>
      <c r="B12" s="87" t="inlineStr">
        <is>
          <t>Inj. Zofar 4ml</t>
        </is>
      </c>
      <c r="C12" s="87" t="inlineStr">
        <is>
          <t>Ondansetron</t>
        </is>
      </c>
      <c r="D12" s="86" t="inlineStr">
        <is>
          <t>No.</t>
        </is>
      </c>
      <c r="E12" s="86" t="n">
        <v>1</v>
      </c>
      <c r="F12" s="88" t="n">
        <v>12.72</v>
      </c>
      <c r="G12" s="88" t="n">
        <v>12.72</v>
      </c>
      <c r="H12" s="88" t="n">
        <v>4.85</v>
      </c>
      <c r="I12" s="88" t="n">
        <v>4.85</v>
      </c>
      <c r="J12" s="87" t="inlineStr">
        <is>
          <t>SSB S000068</t>
        </is>
      </c>
    </row>
    <row r="13" ht="13.5" customHeight="1" s="66">
      <c r="A13" s="83" t="n">
        <v>9</v>
      </c>
      <c r="B13" s="84" t="inlineStr">
        <is>
          <t>Xone 1g</t>
        </is>
      </c>
      <c r="C13" s="84" t="n"/>
      <c r="D13" s="83" t="inlineStr">
        <is>
          <t>No.</t>
        </is>
      </c>
      <c r="E13" s="83" t="n">
        <v>1</v>
      </c>
      <c r="F13" s="85" t="n"/>
      <c r="G13" s="85" t="n"/>
      <c r="H13" s="85" t="n"/>
      <c r="I13" s="85" t="n"/>
      <c r="J13" s="84" t="n"/>
    </row>
    <row r="14" ht="13.5" customHeight="1" s="66">
      <c r="A14" s="86" t="n">
        <v>10</v>
      </c>
      <c r="B14" s="87" t="inlineStr">
        <is>
          <t>Inj. Lasix 4ml</t>
        </is>
      </c>
      <c r="C14" s="87" t="inlineStr">
        <is>
          <t>Furosemide</t>
        </is>
      </c>
      <c r="D14" s="86" t="inlineStr">
        <is>
          <t>No.</t>
        </is>
      </c>
      <c r="E14" s="86" t="n">
        <v>1</v>
      </c>
      <c r="F14" s="88" t="n">
        <v>12.76</v>
      </c>
      <c r="G14" s="88" t="n">
        <v>12.76</v>
      </c>
      <c r="H14" s="88" t="n">
        <v>10.21</v>
      </c>
      <c r="I14" s="88" t="n">
        <v>10.21</v>
      </c>
      <c r="J14" s="87" t="inlineStr">
        <is>
          <t>SSB S000068</t>
        </is>
      </c>
    </row>
    <row r="15" ht="13.5" customHeight="1" s="66">
      <c r="A15" s="89" t="n">
        <v>11</v>
      </c>
      <c r="B15" s="90" t="inlineStr">
        <is>
          <t>Inj. Sensoricaine (Heavy)</t>
        </is>
      </c>
      <c r="C15" s="90" t="inlineStr">
        <is>
          <t>Bupivacaine Heavy</t>
        </is>
      </c>
      <c r="D15" s="89" t="inlineStr">
        <is>
          <t>No.</t>
        </is>
      </c>
      <c r="E15" s="89" t="n">
        <v>1</v>
      </c>
      <c r="F15" s="91" t="n">
        <v>31.47</v>
      </c>
      <c r="G15" s="91" t="n">
        <v>31.47</v>
      </c>
      <c r="H15" s="91" t="n">
        <v>24.76</v>
      </c>
      <c r="I15" s="91" t="n">
        <v>24.76</v>
      </c>
      <c r="J15" s="90" t="inlineStr">
        <is>
          <t>Filled from stock/rate card</t>
        </is>
      </c>
    </row>
    <row r="16" ht="13.5" customHeight="1" s="66">
      <c r="A16" s="86" t="n">
        <v>12</v>
      </c>
      <c r="B16" s="87" t="inlineStr">
        <is>
          <t>Foley's Catheter 16 No.</t>
        </is>
      </c>
      <c r="C16" s="87" t="n"/>
      <c r="D16" s="86" t="inlineStr">
        <is>
          <t>No.</t>
        </is>
      </c>
      <c r="E16" s="86" t="n">
        <v>1</v>
      </c>
      <c r="F16" s="88" t="n">
        <v>174</v>
      </c>
      <c r="G16" s="88" t="n">
        <v>174</v>
      </c>
      <c r="H16" s="88" t="n">
        <v>120.95</v>
      </c>
      <c r="I16" s="88" t="n">
        <v>120.95</v>
      </c>
      <c r="J16" s="87" t="inlineStr">
        <is>
          <t>Vivek F-684</t>
        </is>
      </c>
    </row>
    <row r="17" ht="13.5" customHeight="1" s="66">
      <c r="A17" s="83" t="n">
        <v>13</v>
      </c>
      <c r="B17" s="84" t="inlineStr">
        <is>
          <t>Uro Bag</t>
        </is>
      </c>
      <c r="C17" s="84" t="n"/>
      <c r="D17" s="83" t="inlineStr">
        <is>
          <t>No.</t>
        </is>
      </c>
      <c r="E17" s="83" t="n">
        <v>1</v>
      </c>
      <c r="F17" s="85" t="n">
        <v>361</v>
      </c>
      <c r="G17" s="85" t="n">
        <v>361</v>
      </c>
      <c r="H17" s="85" t="n">
        <v>29.05</v>
      </c>
      <c r="I17" s="85" t="n">
        <v>29.05</v>
      </c>
      <c r="J17" s="84" t="inlineStr">
        <is>
          <t>SSB S000069</t>
        </is>
      </c>
    </row>
    <row r="18" ht="13.5" customHeight="1" s="66">
      <c r="A18" s="86" t="n">
        <v>14</v>
      </c>
      <c r="B18" s="87" t="inlineStr">
        <is>
          <t>Gauze</t>
        </is>
      </c>
      <c r="C18" s="87" t="inlineStr">
        <is>
          <t>Sterile</t>
        </is>
      </c>
      <c r="D18" s="86" t="inlineStr">
        <is>
          <t>No.</t>
        </is>
      </c>
      <c r="E18" s="86" t="n">
        <v>6</v>
      </c>
      <c r="F18" s="88" t="n">
        <v>14</v>
      </c>
      <c r="G18" s="88" t="n">
        <v>84</v>
      </c>
      <c r="H18" s="88" t="n">
        <v>5.46</v>
      </c>
      <c r="I18" s="88" t="n">
        <v>32.76</v>
      </c>
      <c r="J18" s="87" t="inlineStr">
        <is>
          <t>Vivek F-747</t>
        </is>
      </c>
    </row>
    <row r="19" ht="13.5" customHeight="1" s="66">
      <c r="A19" s="83" t="n">
        <v>15</v>
      </c>
      <c r="B19" s="84" t="inlineStr">
        <is>
          <t>NS 500ml</t>
        </is>
      </c>
      <c r="C19" s="84" t="inlineStr">
        <is>
          <t>Normal Saline</t>
        </is>
      </c>
      <c r="D19" s="83" t="inlineStr">
        <is>
          <t>No.</t>
        </is>
      </c>
      <c r="E19" s="83" t="n">
        <v>1</v>
      </c>
      <c r="F19" s="85" t="n">
        <v>39.05</v>
      </c>
      <c r="G19" s="85" t="n">
        <v>39.05</v>
      </c>
      <c r="H19" s="85" t="n">
        <v>16.67</v>
      </c>
      <c r="I19" s="85" t="n">
        <v>16.67</v>
      </c>
      <c r="J19" s="84" t="inlineStr">
        <is>
          <t>SSB S000068</t>
        </is>
      </c>
    </row>
    <row r="20" ht="13.5" customHeight="1" s="66">
      <c r="A20" s="86" t="n">
        <v>16</v>
      </c>
      <c r="B20" s="87" t="inlineStr">
        <is>
          <t>RL 500ml</t>
        </is>
      </c>
      <c r="C20" s="87" t="inlineStr">
        <is>
          <t>Ringer's Lactate</t>
        </is>
      </c>
      <c r="D20" s="86" t="inlineStr">
        <is>
          <t>No.</t>
        </is>
      </c>
      <c r="E20" s="86" t="n">
        <v>2</v>
      </c>
      <c r="F20" s="88" t="n">
        <v>63.3</v>
      </c>
      <c r="G20" s="88" t="n">
        <v>126.6</v>
      </c>
      <c r="H20" s="88" t="n">
        <v>17.62</v>
      </c>
      <c r="I20" s="88" t="n">
        <v>35.24</v>
      </c>
      <c r="J20" s="87" t="inlineStr">
        <is>
          <t>SSB S000068</t>
        </is>
      </c>
    </row>
    <row r="21" ht="13.5" customHeight="1" s="66">
      <c r="A21" s="83" t="n">
        <v>17</v>
      </c>
      <c r="B21" s="84" t="inlineStr">
        <is>
          <t>Normal Saline 1 Litre</t>
        </is>
      </c>
      <c r="C21" s="84" t="inlineStr">
        <is>
          <t>NS 1L</t>
        </is>
      </c>
      <c r="D21" s="83" t="inlineStr">
        <is>
          <t>No.</t>
        </is>
      </c>
      <c r="E21" s="83" t="n">
        <v>3</v>
      </c>
      <c r="F21" s="85" t="n">
        <v>62.22</v>
      </c>
      <c r="G21" s="85" t="n">
        <v>186.66</v>
      </c>
      <c r="H21" s="85" t="n">
        <v>30.48</v>
      </c>
      <c r="I21" s="85" t="n">
        <v>91.44</v>
      </c>
      <c r="J21" s="84" t="inlineStr">
        <is>
          <t>SSB S000197</t>
        </is>
      </c>
    </row>
    <row r="22" ht="13.5" customHeight="1" s="66">
      <c r="A22" s="86" t="n">
        <v>18</v>
      </c>
      <c r="B22" s="87" t="inlineStr">
        <is>
          <t>Betadine Lotion 100ml</t>
        </is>
      </c>
      <c r="C22" s="87" t="inlineStr">
        <is>
          <t>Povidone-Iodine</t>
        </is>
      </c>
      <c r="D22" s="86" t="inlineStr">
        <is>
          <t>No.</t>
        </is>
      </c>
      <c r="E22" s="86" t="n">
        <v>1</v>
      </c>
      <c r="F22" s="88" t="n">
        <v>236.25</v>
      </c>
      <c r="G22" s="88" t="n">
        <v>236.25</v>
      </c>
      <c r="H22" s="88" t="n">
        <v>200</v>
      </c>
      <c r="I22" s="88" t="n">
        <v>200</v>
      </c>
      <c r="J22" s="87" t="inlineStr">
        <is>
          <t>SSB S000069</t>
        </is>
      </c>
    </row>
    <row r="23" ht="13.5" customHeight="1" s="66">
      <c r="A23" s="83" t="n">
        <v>19</v>
      </c>
      <c r="B23" s="84" t="inlineStr">
        <is>
          <t>Lox 2% Jelly</t>
        </is>
      </c>
      <c r="C23" s="84" t="inlineStr">
        <is>
          <t>Lignocaine Jelly</t>
        </is>
      </c>
      <c r="D23" s="83" t="inlineStr">
        <is>
          <t>No.</t>
        </is>
      </c>
      <c r="E23" s="83" t="n">
        <v>1</v>
      </c>
      <c r="F23" s="85" t="n">
        <v>37.95</v>
      </c>
      <c r="G23" s="85" t="n">
        <v>37.95</v>
      </c>
      <c r="H23" s="85" t="n">
        <v>27</v>
      </c>
      <c r="I23" s="85" t="n">
        <v>27</v>
      </c>
      <c r="J23" s="84" t="inlineStr">
        <is>
          <t>Vivek F-748</t>
        </is>
      </c>
    </row>
    <row r="24" ht="13.5" customHeight="1" s="66">
      <c r="A24" s="86" t="n">
        <v>20</v>
      </c>
      <c r="B24" s="87" t="inlineStr">
        <is>
          <t>Gloves 7 No.</t>
        </is>
      </c>
      <c r="C24" s="87" t="inlineStr">
        <is>
          <t>Sterile surgical</t>
        </is>
      </c>
      <c r="D24" s="86" t="inlineStr">
        <is>
          <t>No.</t>
        </is>
      </c>
      <c r="E24" s="86" t="n">
        <v>5</v>
      </c>
      <c r="F24" s="88" t="n">
        <v>91</v>
      </c>
      <c r="G24" s="88" t="n">
        <v>455</v>
      </c>
      <c r="H24" s="88" t="n">
        <v>19.06</v>
      </c>
      <c r="I24" s="88" t="n">
        <v>95.3</v>
      </c>
      <c r="J24" s="87" t="inlineStr">
        <is>
          <t>Vivek F-747</t>
        </is>
      </c>
    </row>
    <row r="25" ht="15.75" customHeight="1" s="66">
      <c r="A25" s="96" t="inlineStr">
        <is>
          <t xml:space="preserve">  Subtotal — Consumables / Medicines</t>
        </is>
      </c>
      <c r="B25" s="97" t="n"/>
      <c r="C25" s="97" t="n"/>
      <c r="D25" s="97" t="n"/>
      <c r="E25" s="97" t="n"/>
      <c r="F25" s="97" t="n"/>
      <c r="G25" s="98" t="n">
        <v>2388.86</v>
      </c>
      <c r="H25" s="99" t="n"/>
      <c r="I25" s="98" t="n">
        <v>785.95</v>
      </c>
      <c r="J25" s="99" t="n"/>
    </row>
    <row r="27" ht="15" customHeight="1" s="66">
      <c r="A27" s="100" t="inlineStr">
        <is>
          <t xml:space="preserve">  SECTION B — ROOM / BED CHARGES</t>
        </is>
      </c>
    </row>
    <row r="28" ht="13.5" customHeight="1" s="66">
      <c r="A28" s="101" t="n">
        <v>1</v>
      </c>
      <c r="B28" s="102" t="inlineStr">
        <is>
          <t>Bed / Room Charges</t>
        </is>
      </c>
      <c r="C28" s="102" t="inlineStr">
        <is>
          <t>General Ward — 1 Day</t>
        </is>
      </c>
      <c r="D28" s="101" t="inlineStr">
        <is>
          <t>Day</t>
        </is>
      </c>
      <c r="E28" s="101" t="n">
        <v>1</v>
      </c>
      <c r="F28" s="103" t="n">
        <v>1000</v>
      </c>
      <c r="G28" s="103" t="n">
        <v>1000</v>
      </c>
      <c r="H28" s="102" t="inlineStr">
        <is>
          <t>—</t>
        </is>
      </c>
      <c r="I28" s="102" t="inlineStr">
        <is>
          <t>—</t>
        </is>
      </c>
      <c r="J28" s="104" t="inlineStr">
        <is>
          <t>Fixed hospital rate</t>
        </is>
      </c>
    </row>
    <row r="30" ht="15" customHeight="1" s="66">
      <c r="A30" s="105" t="inlineStr">
        <is>
          <t xml:space="preserve">  SECTION C — OT / PROCEDURE CHARGES</t>
        </is>
      </c>
    </row>
    <row r="31" ht="13.5" customHeight="1" s="66">
      <c r="A31" s="106" t="n">
        <v>1</v>
      </c>
      <c r="B31" s="107" t="inlineStr">
        <is>
          <t>OT / Procedure Charges</t>
        </is>
      </c>
      <c r="C31" s="107" t="inlineStr">
        <is>
          <t>Per procedure</t>
        </is>
      </c>
      <c r="D31" s="106" t="inlineStr">
        <is>
          <t>—</t>
        </is>
      </c>
      <c r="E31" s="106" t="n">
        <v>1</v>
      </c>
      <c r="F31" s="108" t="n">
        <v>1500</v>
      </c>
      <c r="G31" s="108" t="n">
        <v>1500</v>
      </c>
      <c r="H31" s="107" t="inlineStr">
        <is>
          <t>—</t>
        </is>
      </c>
      <c r="I31" s="107" t="inlineStr">
        <is>
          <t>—</t>
        </is>
      </c>
      <c r="J31" s="109" t="inlineStr">
        <is>
          <t>Fixed hospital rate</t>
        </is>
      </c>
    </row>
    <row r="33" ht="21.75" customHeight="1" s="66">
      <c r="A33" s="110" t="inlineStr">
        <is>
          <t>GRAND TOTAL PATIENT BILL</t>
        </is>
      </c>
      <c r="B33" s="111" t="n"/>
      <c r="C33" s="111" t="n"/>
      <c r="D33" s="111" t="n"/>
      <c r="E33" s="111" t="n"/>
      <c r="F33" s="111" t="n"/>
      <c r="G33" s="112" t="n">
        <v>4888.86</v>
      </c>
      <c r="H33" s="113" t="inlineStr">
        <is>
          <t>Total Cost: ₹785.95  |  Margin: ₹4,102.91</t>
        </is>
      </c>
      <c r="I33" s="111" t="n"/>
      <c r="J33" s="114" t="n"/>
    </row>
    <row r="35" ht="18" customHeight="1" s="66">
      <c r="A35" s="115" t="inlineStr">
        <is>
          <t xml:space="preserve">  🟡 Amber rows = estimated MRP (market/proxy rate); cost shown as 30% below MRP.   🔴 Red rows = MRP not found; enter manually.   White/blue rows = actual invoice MRP.</t>
        </is>
      </c>
    </row>
    <row r="36" ht="18" customHeight="1" s="66">
      <c r="A36" s="116" t="inlineStr">
        <is>
          <t>⚠ 1 item(s) without MRP: Inj. Sensoricaine (Heavy)</t>
        </is>
      </c>
    </row>
  </sheetData>
  <mergeCells count="12">
    <mergeCell ref="A33:F33"/>
    <mergeCell ref="A1:J1"/>
    <mergeCell ref="A36:J36"/>
    <mergeCell ref="E2:F2"/>
    <mergeCell ref="I2:J2"/>
    <mergeCell ref="A27:J27"/>
    <mergeCell ref="A3:J3"/>
    <mergeCell ref="A30:J30"/>
    <mergeCell ref="H33:I33"/>
    <mergeCell ref="A35:J35"/>
    <mergeCell ref="A2:D2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92D050"/>
    <outlinePr summaryBelow="1" summaryRight="1"/>
    <pageSetUpPr fitToPage="0"/>
  </sheetPr>
  <dimension ref="A1:J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12" activePane="bottomLeft" state="frozen"/>
      <selection pane="topLeft" activeCell="A1" activeCellId="0" sqref="A1"/>
      <selection pane="bottomLeft" activeCell="A24" activeCellId="0" sqref="A24"/>
    </sheetView>
  </sheetViews>
  <sheetFormatPr baseColWidth="8" defaultColWidth="8.6328125" defaultRowHeight="14.25" zeroHeight="0" outlineLevelRow="0"/>
  <cols>
    <col width="5" customWidth="1" style="65" min="1" max="1"/>
    <col width="30" customWidth="1" style="65" min="2" max="2"/>
    <col width="20" customWidth="1" style="65" min="3" max="3"/>
    <col width="9" customWidth="1" style="65" min="4" max="4"/>
    <col width="6" customWidth="1" style="65" min="5" max="5"/>
    <col width="14" customWidth="1" style="65" min="6" max="6"/>
    <col width="15" customWidth="1" style="65" min="7" max="7"/>
    <col width="14" customWidth="1" style="65" min="8" max="8"/>
    <col width="15" customWidth="1" style="65" min="9" max="9"/>
    <col width="22" customWidth="1" style="65" min="10" max="10"/>
  </cols>
  <sheetData>
    <row r="1" ht="21.75" customHeight="1" s="66">
      <c r="A1" s="78" t="inlineStr">
        <is>
          <t>BK ADITYA MULTISPECIALTY HOSPITAL — PATIENT BILL</t>
        </is>
      </c>
    </row>
    <row r="2" ht="18" customHeight="1" s="66">
      <c r="A2" s="79" t="inlineStr">
        <is>
          <t>Patient: Souren Banerjee</t>
        </is>
      </c>
      <c r="E2" s="80" t="inlineStr">
        <is>
          <t>Doctor: Dr. S. Gupta</t>
        </is>
      </c>
      <c r="G2" s="80" t="inlineStr">
        <is>
          <t>Date: 19/04/2026</t>
        </is>
      </c>
      <c r="H2" s="80" t="inlineStr">
        <is>
          <t>Indent: 61</t>
        </is>
      </c>
      <c r="I2" s="80" t="inlineStr">
        <is>
          <t>Type: Ward</t>
        </is>
      </c>
    </row>
    <row r="3" ht="15" customHeight="1" s="66">
      <c r="A3" s="81" t="inlineStr">
        <is>
          <t xml:space="preserve">  SECTION A — CONSUMABLES &amp; MEDICINES</t>
        </is>
      </c>
    </row>
    <row r="4" ht="30" customHeight="1" s="66">
      <c r="A4" s="82" t="inlineStr">
        <is>
          <t>Sl</t>
        </is>
      </c>
      <c r="B4" s="82" t="inlineStr">
        <is>
          <t>Item Name</t>
        </is>
      </c>
      <c r="C4" s="82" t="inlineStr">
        <is>
          <t>Specification</t>
        </is>
      </c>
      <c r="D4" s="82" t="inlineStr">
        <is>
          <t>Unit</t>
        </is>
      </c>
      <c r="E4" s="82" t="inlineStr">
        <is>
          <t>Qty</t>
        </is>
      </c>
      <c r="F4" s="82" t="inlineStr">
        <is>
          <t>MRP/Unit (₹)</t>
        </is>
      </c>
      <c r="G4" s="82" t="inlineStr">
        <is>
          <t>Charge @MRP (₹)</t>
        </is>
      </c>
      <c r="H4" s="82" t="inlineStr">
        <is>
          <t>Cost/Unit (₹)</t>
        </is>
      </c>
      <c r="I4" s="82" t="inlineStr">
        <is>
          <t>Cost Total (₹)</t>
        </is>
      </c>
      <c r="J4" s="82" t="inlineStr">
        <is>
          <t>Source / Remarks</t>
        </is>
      </c>
    </row>
    <row r="5" ht="13.5" customHeight="1" s="66">
      <c r="A5" s="83" t="n">
        <v>1</v>
      </c>
      <c r="B5" s="84" t="inlineStr">
        <is>
          <t>Venflon 18G</t>
        </is>
      </c>
      <c r="C5" s="84" t="inlineStr">
        <is>
          <t>IV Cannula 18G</t>
        </is>
      </c>
      <c r="D5" s="83" t="inlineStr">
        <is>
          <t>No.</t>
        </is>
      </c>
      <c r="E5" s="83" t="n">
        <v>1</v>
      </c>
      <c r="F5" s="85" t="n">
        <v>321</v>
      </c>
      <c r="G5" s="85" t="n">
        <v>321</v>
      </c>
      <c r="H5" s="85" t="n">
        <v>55</v>
      </c>
      <c r="I5" s="85" t="n">
        <v>55</v>
      </c>
      <c r="J5" s="84" t="inlineStr">
        <is>
          <t>Vivek F-684</t>
        </is>
      </c>
    </row>
    <row r="6" ht="13.5" customHeight="1" s="66">
      <c r="A6" s="86" t="n">
        <v>2</v>
      </c>
      <c r="B6" s="87" t="inlineStr">
        <is>
          <t>Easyfix</t>
        </is>
      </c>
      <c r="C6" s="87" t="inlineStr">
        <is>
          <t>Adhesive dressing</t>
        </is>
      </c>
      <c r="D6" s="86" t="inlineStr">
        <is>
          <t>No.</t>
        </is>
      </c>
      <c r="E6" s="86" t="n">
        <v>1</v>
      </c>
      <c r="F6" s="88" t="n">
        <v>900</v>
      </c>
      <c r="G6" s="88" t="n">
        <v>900</v>
      </c>
      <c r="H6" s="88" t="n">
        <v>300</v>
      </c>
      <c r="I6" s="88" t="n">
        <v>300</v>
      </c>
      <c r="J6" s="87" t="inlineStr">
        <is>
          <t>CLD 3x proxy</t>
        </is>
      </c>
    </row>
    <row r="7" ht="13.5" customHeight="1" s="66">
      <c r="A7" s="83" t="n">
        <v>3</v>
      </c>
      <c r="B7" s="84" t="inlineStr">
        <is>
          <t>Lox 2% Jelly</t>
        </is>
      </c>
      <c r="C7" s="84" t="inlineStr">
        <is>
          <t>Lignocaine Jelly</t>
        </is>
      </c>
      <c r="D7" s="83" t="inlineStr">
        <is>
          <t>No.</t>
        </is>
      </c>
      <c r="E7" s="83" t="n">
        <v>1</v>
      </c>
      <c r="F7" s="85" t="n">
        <v>37.95</v>
      </c>
      <c r="G7" s="85" t="n">
        <v>37.95</v>
      </c>
      <c r="H7" s="85" t="n">
        <v>27</v>
      </c>
      <c r="I7" s="85" t="n">
        <v>27</v>
      </c>
      <c r="J7" s="84" t="inlineStr">
        <is>
          <t>Vivek F-748</t>
        </is>
      </c>
    </row>
    <row r="8" ht="13.5" customHeight="1" s="66">
      <c r="A8" s="86" t="n">
        <v>4</v>
      </c>
      <c r="B8" s="87" t="inlineStr">
        <is>
          <t>Inj. Xone 1g</t>
        </is>
      </c>
      <c r="C8" s="87" t="inlineStr">
        <is>
          <t>Ceftriaxone</t>
        </is>
      </c>
      <c r="D8" s="86" t="inlineStr">
        <is>
          <t>No.</t>
        </is>
      </c>
      <c r="E8" s="86" t="n">
        <v>1</v>
      </c>
      <c r="F8" s="88" t="n">
        <v>66.64</v>
      </c>
      <c r="G8" s="88" t="n">
        <v>66.64</v>
      </c>
      <c r="H8" s="88" t="n">
        <v>25.71</v>
      </c>
      <c r="I8" s="88" t="n">
        <v>25.71</v>
      </c>
      <c r="J8" s="87" t="inlineStr">
        <is>
          <t>SSB S000068</t>
        </is>
      </c>
    </row>
    <row r="9" ht="13.5" customHeight="1" s="66">
      <c r="A9" s="83" t="n">
        <v>5</v>
      </c>
      <c r="B9" s="84" t="inlineStr">
        <is>
          <t>Inj. Rantac</t>
        </is>
      </c>
      <c r="C9" s="84" t="inlineStr">
        <is>
          <t>Ranitidine</t>
        </is>
      </c>
      <c r="D9" s="83" t="inlineStr">
        <is>
          <t>No.</t>
        </is>
      </c>
      <c r="E9" s="83" t="n">
        <v>1</v>
      </c>
      <c r="F9" s="85" t="n">
        <v>7.48</v>
      </c>
      <c r="G9" s="85" t="n">
        <v>7.48</v>
      </c>
      <c r="H9" s="85" t="n">
        <v>4.29</v>
      </c>
      <c r="I9" s="85" t="n">
        <v>4.29</v>
      </c>
      <c r="J9" s="84" t="inlineStr">
        <is>
          <t>SSB S000068</t>
        </is>
      </c>
    </row>
    <row r="10" ht="13.5" customHeight="1" s="66">
      <c r="A10" s="86" t="n">
        <v>6</v>
      </c>
      <c r="B10" s="87" t="inlineStr">
        <is>
          <t>Inj. Ondem</t>
        </is>
      </c>
      <c r="C10" s="87" t="inlineStr">
        <is>
          <t>Ondansetron</t>
        </is>
      </c>
      <c r="D10" s="86" t="inlineStr">
        <is>
          <t>No.</t>
        </is>
      </c>
      <c r="E10" s="86" t="n">
        <v>1</v>
      </c>
      <c r="F10" s="88" t="n">
        <v>12.72</v>
      </c>
      <c r="G10" s="88" t="n">
        <v>12.72</v>
      </c>
      <c r="H10" s="88" t="n">
        <v>4.85</v>
      </c>
      <c r="I10" s="88" t="n">
        <v>4.85</v>
      </c>
      <c r="J10" s="87" t="inlineStr">
        <is>
          <t>SSB S000068</t>
        </is>
      </c>
    </row>
    <row r="11" ht="13.5" customHeight="1" s="66">
      <c r="A11" s="117" t="n">
        <v>7</v>
      </c>
      <c r="B11" s="118" t="inlineStr">
        <is>
          <t>Inj. Dynapan AS</t>
        </is>
      </c>
      <c r="C11" s="118" t="inlineStr">
        <is>
          <t>Diclofenac AQ</t>
        </is>
      </c>
      <c r="D11" s="117" t="inlineStr">
        <is>
          <t>No.</t>
        </is>
      </c>
      <c r="E11" s="117" t="n">
        <v>1</v>
      </c>
      <c r="F11" s="119" t="n">
        <v>23.8</v>
      </c>
      <c r="G11" s="119" t="n">
        <v>23.8</v>
      </c>
      <c r="H11" s="119" t="n">
        <v>8.57</v>
      </c>
      <c r="I11" s="119" t="n">
        <v>8.57</v>
      </c>
      <c r="J11" s="118" t="inlineStr">
        <is>
          <t>⚠ Est. — Justin AQ proxy | Cost = 30% below MRP</t>
        </is>
      </c>
    </row>
    <row r="12" ht="13.5" customHeight="1" s="66">
      <c r="A12" s="86" t="n">
        <v>8</v>
      </c>
      <c r="B12" s="87" t="inlineStr">
        <is>
          <t>Betadine Lotion 100ml</t>
        </is>
      </c>
      <c r="C12" s="87" t="inlineStr">
        <is>
          <t>Povidone-Iodine</t>
        </is>
      </c>
      <c r="D12" s="86" t="inlineStr">
        <is>
          <t>No.</t>
        </is>
      </c>
      <c r="E12" s="86" t="n">
        <v>1</v>
      </c>
      <c r="F12" s="88" t="n">
        <v>236.25</v>
      </c>
      <c r="G12" s="88" t="n">
        <v>236.25</v>
      </c>
      <c r="H12" s="88" t="n">
        <v>200</v>
      </c>
      <c r="I12" s="88" t="n">
        <v>200</v>
      </c>
      <c r="J12" s="87" t="inlineStr">
        <is>
          <t>SSB S000069</t>
        </is>
      </c>
    </row>
    <row r="13" ht="13.5" customHeight="1" s="66">
      <c r="A13" s="83" t="n">
        <v>9</v>
      </c>
      <c r="B13" s="84" t="inlineStr">
        <is>
          <t>Gauze</t>
        </is>
      </c>
      <c r="C13" s="84" t="inlineStr">
        <is>
          <t>Sterile</t>
        </is>
      </c>
      <c r="D13" s="83" t="inlineStr">
        <is>
          <t>No.</t>
        </is>
      </c>
      <c r="E13" s="83" t="n">
        <v>4</v>
      </c>
      <c r="F13" s="85" t="n">
        <v>14</v>
      </c>
      <c r="G13" s="85" t="n">
        <v>56</v>
      </c>
      <c r="H13" s="85" t="n">
        <v>5.46</v>
      </c>
      <c r="I13" s="85" t="n">
        <v>21.84</v>
      </c>
      <c r="J13" s="84" t="inlineStr">
        <is>
          <t>Vivek F-747</t>
        </is>
      </c>
    </row>
    <row r="14" ht="13.5" customHeight="1" s="66">
      <c r="A14" s="86" t="n">
        <v>10</v>
      </c>
      <c r="B14" s="87" t="inlineStr">
        <is>
          <t>Gloves 7 No.</t>
        </is>
      </c>
      <c r="C14" s="87" t="inlineStr">
        <is>
          <t>Surgical sterile</t>
        </is>
      </c>
      <c r="D14" s="86" t="inlineStr">
        <is>
          <t>No.</t>
        </is>
      </c>
      <c r="E14" s="86" t="n">
        <v>2</v>
      </c>
      <c r="F14" s="88" t="n">
        <v>91</v>
      </c>
      <c r="G14" s="88" t="n">
        <v>182</v>
      </c>
      <c r="H14" s="88" t="n">
        <v>19.06</v>
      </c>
      <c r="I14" s="88" t="n">
        <v>38.12</v>
      </c>
      <c r="J14" s="87" t="inlineStr">
        <is>
          <t>Vivek F-747</t>
        </is>
      </c>
    </row>
    <row r="15" ht="13.5" customHeight="1" s="66">
      <c r="A15" s="89" t="n">
        <v>11</v>
      </c>
      <c r="B15" s="90" t="inlineStr">
        <is>
          <t>Cap + Mask</t>
        </is>
      </c>
      <c r="C15" s="90" t="inlineStr">
        <is>
          <t>Disposable</t>
        </is>
      </c>
      <c r="D15" s="89" t="inlineStr">
        <is>
          <t>No.</t>
        </is>
      </c>
      <c r="E15" s="89" t="n">
        <v>5</v>
      </c>
      <c r="F15" s="91" t="n">
        <v>25</v>
      </c>
      <c r="G15" s="91" t="n">
        <v>125</v>
      </c>
      <c r="H15" s="91" t="inlineStr">
        <is>
          <t>⚠</t>
        </is>
      </c>
      <c r="I15" s="91" t="inlineStr">
        <is>
          <t>⚠</t>
        </is>
      </c>
      <c r="J15" s="90" t="inlineStr">
        <is>
          <t>MRP filled; cost ⚠</t>
        </is>
      </c>
    </row>
    <row r="16" ht="15.75" customHeight="1" s="66">
      <c r="A16" s="96" t="inlineStr">
        <is>
          <t xml:space="preserve">  Subtotal — Consumables / Medicines</t>
        </is>
      </c>
      <c r="B16" s="97" t="n"/>
      <c r="C16" s="97" t="n"/>
      <c r="D16" s="97" t="n"/>
      <c r="E16" s="97" t="n"/>
      <c r="F16" s="97" t="n"/>
      <c r="G16" s="98" t="n">
        <v>1843.84</v>
      </c>
      <c r="H16" s="99" t="n"/>
      <c r="I16" s="98" t="n">
        <v>685.38</v>
      </c>
      <c r="J16" s="99" t="n"/>
    </row>
    <row r="18" ht="15" customHeight="1" s="66">
      <c r="A18" s="100" t="inlineStr">
        <is>
          <t xml:space="preserve">  SECTION B — ROOM / BED CHARGES</t>
        </is>
      </c>
    </row>
    <row r="19" ht="13.5" customHeight="1" s="66">
      <c r="A19" s="101" t="n">
        <v>1</v>
      </c>
      <c r="B19" s="102" t="inlineStr">
        <is>
          <t>Bed / Room Charges</t>
        </is>
      </c>
      <c r="C19" s="102" t="inlineStr">
        <is>
          <t>General Ward — 1 Day</t>
        </is>
      </c>
      <c r="D19" s="101" t="inlineStr">
        <is>
          <t>Day</t>
        </is>
      </c>
      <c r="E19" s="101" t="n">
        <v>1</v>
      </c>
      <c r="F19" s="103" t="n">
        <v>1000</v>
      </c>
      <c r="G19" s="103" t="n">
        <v>1000</v>
      </c>
      <c r="H19" s="102" t="inlineStr">
        <is>
          <t>—</t>
        </is>
      </c>
      <c r="I19" s="102" t="inlineStr">
        <is>
          <t>—</t>
        </is>
      </c>
      <c r="J19" s="104" t="inlineStr">
        <is>
          <t>Fixed hospital rate</t>
        </is>
      </c>
    </row>
    <row r="21" ht="15" customHeight="1" s="66">
      <c r="A21" s="105" t="inlineStr">
        <is>
          <t xml:space="preserve">  SECTION C — OT / PROCEDURE CHARGES</t>
        </is>
      </c>
    </row>
    <row r="22" ht="13.5" customHeight="1" s="66">
      <c r="A22" s="106" t="n">
        <v>1</v>
      </c>
      <c r="B22" s="107" t="inlineStr">
        <is>
          <t>OT / Procedure Charges</t>
        </is>
      </c>
      <c r="C22" s="107" t="inlineStr">
        <is>
          <t>Per procedure</t>
        </is>
      </c>
      <c r="D22" s="106" t="inlineStr">
        <is>
          <t>—</t>
        </is>
      </c>
      <c r="E22" s="106" t="n">
        <v>1</v>
      </c>
      <c r="F22" s="108" t="n">
        <v>1500</v>
      </c>
      <c r="G22" s="108" t="n">
        <v>1500</v>
      </c>
      <c r="H22" s="107" t="inlineStr">
        <is>
          <t>—</t>
        </is>
      </c>
      <c r="I22" s="107" t="inlineStr">
        <is>
          <t>—</t>
        </is>
      </c>
      <c r="J22" s="109" t="inlineStr">
        <is>
          <t>Fixed hospital rate</t>
        </is>
      </c>
    </row>
    <row r="24" ht="21.75" customHeight="1" s="66">
      <c r="A24" s="110" t="inlineStr">
        <is>
          <t>GRAND TOTAL PATIENT BILL</t>
        </is>
      </c>
      <c r="B24" s="111" t="n"/>
      <c r="C24" s="111" t="n"/>
      <c r="D24" s="111" t="n"/>
      <c r="E24" s="111" t="n"/>
      <c r="F24" s="111" t="n"/>
      <c r="G24" s="112" t="n">
        <v>4343.84</v>
      </c>
      <c r="H24" s="113" t="inlineStr">
        <is>
          <t>Total Cost: ₹685.38  |  Margin: ₹3,658.46</t>
        </is>
      </c>
      <c r="I24" s="111" t="n"/>
      <c r="J24" s="114" t="n"/>
    </row>
    <row r="26" ht="18" customHeight="1" s="66">
      <c r="A26" s="115" t="inlineStr">
        <is>
          <t xml:space="preserve">  🟡 Amber rows = estimated MRP (market/proxy rate); cost shown as 30% below MRP.   🔴 Red rows = MRP not found; enter manually.   White/blue rows = actual invoice MRP.</t>
        </is>
      </c>
    </row>
    <row r="27" ht="18" customHeight="1" s="66">
      <c r="A27" s="116" t="inlineStr">
        <is>
          <t>⚠ 1 item(s) without MRP: Cap + Mask</t>
        </is>
      </c>
    </row>
  </sheetData>
  <mergeCells count="12">
    <mergeCell ref="A24:F24"/>
    <mergeCell ref="A16:F16"/>
    <mergeCell ref="A1:J1"/>
    <mergeCell ref="E2:F2"/>
    <mergeCell ref="A18:J18"/>
    <mergeCell ref="I2:J2"/>
    <mergeCell ref="H24:I24"/>
    <mergeCell ref="A3:J3"/>
    <mergeCell ref="A21:J21"/>
    <mergeCell ref="A27:J27"/>
    <mergeCell ref="A26:J26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7" activeCellId="0" sqref="B7"/>
    </sheetView>
  </sheetViews>
  <sheetFormatPr baseColWidth="8" defaultColWidth="8.6328125" defaultRowHeight="14.25" zeroHeight="0" outlineLevelRow="0"/>
  <cols>
    <col width="5" customWidth="1" style="65" min="1" max="1"/>
    <col width="30" customWidth="1" style="65" min="2" max="2"/>
    <col width="20" customWidth="1" style="65" min="3" max="3"/>
    <col width="9" customWidth="1" style="65" min="4" max="4"/>
    <col width="6" customWidth="1" style="65" min="5" max="5"/>
    <col width="14" customWidth="1" style="65" min="6" max="6"/>
    <col width="15" customWidth="1" style="65" min="7" max="7"/>
    <col width="14" customWidth="1" style="65" min="8" max="8"/>
    <col width="15" customWidth="1" style="65" min="9" max="9"/>
    <col width="22" customWidth="1" style="65" min="10" max="10"/>
  </cols>
  <sheetData>
    <row r="1" ht="21.75" customHeight="1" s="66">
      <c r="A1" s="78" t="inlineStr">
        <is>
          <t>BK ADITYA MULTISPECIALTY HOSPITAL — PATIENT BILL</t>
        </is>
      </c>
    </row>
    <row r="2" ht="18" customHeight="1" s="66">
      <c r="A2" s="79" t="inlineStr">
        <is>
          <t>Patient: Mona Chakraborty</t>
        </is>
      </c>
      <c r="E2" s="80" t="inlineStr">
        <is>
          <t>Doctor: Dr. S. Gupta</t>
        </is>
      </c>
      <c r="G2" s="80" t="inlineStr">
        <is>
          <t>Date: 01/05/2026</t>
        </is>
      </c>
      <c r="H2" s="80" t="inlineStr">
        <is>
          <t>Indent: OT</t>
        </is>
      </c>
      <c r="I2" s="80" t="inlineStr">
        <is>
          <t>Type: OT</t>
        </is>
      </c>
    </row>
    <row r="3" ht="15" customHeight="1" s="66">
      <c r="A3" s="81" t="inlineStr">
        <is>
          <t xml:space="preserve">  SECTION A — CONSUMABLES &amp; MEDICINES</t>
        </is>
      </c>
    </row>
    <row r="4" ht="30" customHeight="1" s="66">
      <c r="A4" s="82" t="inlineStr">
        <is>
          <t>Sl</t>
        </is>
      </c>
      <c r="B4" s="82" t="inlineStr">
        <is>
          <t>Item Name</t>
        </is>
      </c>
      <c r="C4" s="82" t="inlineStr">
        <is>
          <t>Specification</t>
        </is>
      </c>
      <c r="D4" s="82" t="inlineStr">
        <is>
          <t>Unit</t>
        </is>
      </c>
      <c r="E4" s="82" t="inlineStr">
        <is>
          <t>Qty</t>
        </is>
      </c>
      <c r="F4" s="82" t="inlineStr">
        <is>
          <t>MRP/Unit (₹)</t>
        </is>
      </c>
      <c r="G4" s="82" t="inlineStr">
        <is>
          <t>Charge @MRP (₹)</t>
        </is>
      </c>
      <c r="H4" s="82" t="inlineStr">
        <is>
          <t>Cost/Unit (₹)</t>
        </is>
      </c>
      <c r="I4" s="82" t="inlineStr">
        <is>
          <t>Cost Total (₹)</t>
        </is>
      </c>
      <c r="J4" s="82" t="inlineStr">
        <is>
          <t>Source / Remarks</t>
        </is>
      </c>
    </row>
    <row r="5" ht="13.5" customHeight="1" s="66">
      <c r="A5" s="83" t="n">
        <v>1</v>
      </c>
      <c r="B5" s="84" t="inlineStr">
        <is>
          <t>Vonflon 20G</t>
        </is>
      </c>
      <c r="C5" s="84" t="inlineStr">
        <is>
          <t>IV Cannula 20G</t>
        </is>
      </c>
      <c r="D5" s="83" t="inlineStr">
        <is>
          <t>No.</t>
        </is>
      </c>
      <c r="E5" s="83" t="n">
        <v>1</v>
      </c>
      <c r="F5" s="85" t="n">
        <v>202.55</v>
      </c>
      <c r="G5" s="85" t="n">
        <v>202.55</v>
      </c>
      <c r="H5" s="85" t="n">
        <v>7.14</v>
      </c>
      <c r="I5" s="85" t="n">
        <v>7.14</v>
      </c>
      <c r="J5" s="84" t="inlineStr">
        <is>
          <t>SSB S000069</t>
        </is>
      </c>
    </row>
    <row r="6" ht="13.5" customHeight="1" s="66">
      <c r="A6" s="86" t="n">
        <v>2</v>
      </c>
      <c r="B6" s="87" t="inlineStr">
        <is>
          <t>Syringe 2cc</t>
        </is>
      </c>
      <c r="C6" s="87" t="n"/>
      <c r="D6" s="86" t="inlineStr">
        <is>
          <t>No.</t>
        </is>
      </c>
      <c r="E6" s="86" t="n">
        <v>1</v>
      </c>
      <c r="F6" s="88" t="n">
        <v>6.04</v>
      </c>
      <c r="G6" s="88" t="n">
        <v>6.04</v>
      </c>
      <c r="H6" s="88" t="n">
        <v>1.9</v>
      </c>
      <c r="I6" s="88" t="n">
        <v>1.9</v>
      </c>
      <c r="J6" s="87" t="inlineStr">
        <is>
          <t>SSB S000069</t>
        </is>
      </c>
    </row>
    <row r="7" ht="13.5" customHeight="1" s="66">
      <c r="A7" s="83" t="n">
        <v>3</v>
      </c>
      <c r="B7" s="84" t="inlineStr">
        <is>
          <t>Syringe 10cc</t>
        </is>
      </c>
      <c r="C7" s="84" t="n"/>
      <c r="D7" s="83" t="inlineStr">
        <is>
          <t>No.</t>
        </is>
      </c>
      <c r="E7" s="83" t="n">
        <v>2</v>
      </c>
      <c r="F7" s="85" t="n">
        <v>20</v>
      </c>
      <c r="G7" s="85" t="n">
        <v>40</v>
      </c>
      <c r="H7" s="85" t="n">
        <v>3.76</v>
      </c>
      <c r="I7" s="85" t="n">
        <v>7.52</v>
      </c>
      <c r="J7" s="84" t="inlineStr">
        <is>
          <t>SSB S000069</t>
        </is>
      </c>
    </row>
    <row r="8" ht="13.5" customHeight="1" s="66">
      <c r="A8" s="86" t="n">
        <v>4</v>
      </c>
      <c r="B8" s="87" t="inlineStr">
        <is>
          <t>D/Water</t>
        </is>
      </c>
      <c r="C8" s="87" t="inlineStr">
        <is>
          <t>Sterile water</t>
        </is>
      </c>
      <c r="D8" s="86" t="inlineStr">
        <is>
          <t>No.</t>
        </is>
      </c>
      <c r="E8" s="86" t="n">
        <v>1</v>
      </c>
      <c r="F8" s="88" t="n">
        <v>3.24</v>
      </c>
      <c r="G8" s="88" t="n">
        <v>3.24</v>
      </c>
      <c r="H8" s="88" t="n">
        <v>2.51</v>
      </c>
      <c r="I8" s="88" t="n">
        <v>2.51</v>
      </c>
      <c r="J8" s="87" t="inlineStr">
        <is>
          <t>Vivek F-747</t>
        </is>
      </c>
    </row>
    <row r="9" ht="13.5" customHeight="1" s="66">
      <c r="A9" s="83" t="n">
        <v>5</v>
      </c>
      <c r="B9" s="84" t="inlineStr">
        <is>
          <t>Inj. Zofar</t>
        </is>
      </c>
      <c r="C9" s="84" t="inlineStr">
        <is>
          <t>Ondansetron</t>
        </is>
      </c>
      <c r="D9" s="83" t="inlineStr">
        <is>
          <t>No.</t>
        </is>
      </c>
      <c r="E9" s="83" t="n">
        <v>1</v>
      </c>
      <c r="F9" s="85" t="n">
        <v>12.72</v>
      </c>
      <c r="G9" s="85" t="n">
        <v>12.72</v>
      </c>
      <c r="H9" s="85" t="n">
        <v>4.85</v>
      </c>
      <c r="I9" s="85" t="n">
        <v>4.85</v>
      </c>
      <c r="J9" s="84" t="inlineStr">
        <is>
          <t>SSB S000068</t>
        </is>
      </c>
    </row>
    <row r="10" ht="13.5" customHeight="1" s="66">
      <c r="A10" s="120" t="n">
        <v>6</v>
      </c>
      <c r="B10" s="121" t="inlineStr">
        <is>
          <t>Inj. Ketamine 10ml</t>
        </is>
      </c>
      <c r="C10" s="121" t="inlineStr">
        <is>
          <t>Ketamine</t>
        </is>
      </c>
      <c r="D10" s="120" t="inlineStr">
        <is>
          <t>No.</t>
        </is>
      </c>
      <c r="E10" s="120" t="n">
        <v>1</v>
      </c>
      <c r="F10" s="122" t="n">
        <v>200</v>
      </c>
      <c r="G10" s="122" t="n">
        <v>200</v>
      </c>
      <c r="H10" s="122" t="n">
        <v>140</v>
      </c>
      <c r="I10" s="122" t="n">
        <v>140</v>
      </c>
      <c r="J10" s="121" t="inlineStr">
        <is>
          <t>⚠ Est. — Cash memo | Cost = 30% below MRP</t>
        </is>
      </c>
    </row>
    <row r="11" ht="13.5" customHeight="1" s="66">
      <c r="A11" s="117" t="n">
        <v>7</v>
      </c>
      <c r="B11" s="118" t="inlineStr">
        <is>
          <t>Foley's Catheter 18 No.</t>
        </is>
      </c>
      <c r="C11" s="118" t="inlineStr">
        <is>
          <t>18Fr Foley</t>
        </is>
      </c>
      <c r="D11" s="117" t="inlineStr">
        <is>
          <t>No.</t>
        </is>
      </c>
      <c r="E11" s="117" t="n">
        <v>1</v>
      </c>
      <c r="F11" s="119" t="n">
        <v>150</v>
      </c>
      <c r="G11" s="119" t="n">
        <v>150</v>
      </c>
      <c r="H11" s="119" t="n">
        <v>50</v>
      </c>
      <c r="I11" s="119" t="n">
        <v>50</v>
      </c>
      <c r="J11" s="118" t="inlineStr">
        <is>
          <t>⚠ Est. — CLD est. 3x | Cost = 30% below MRP</t>
        </is>
      </c>
    </row>
    <row r="12" ht="13.5" customHeight="1" s="66">
      <c r="A12" s="86" t="n">
        <v>8</v>
      </c>
      <c r="B12" s="87" t="inlineStr">
        <is>
          <t>Uro Bag</t>
        </is>
      </c>
      <c r="C12" s="87" t="n"/>
      <c r="D12" s="86" t="inlineStr">
        <is>
          <t>No.</t>
        </is>
      </c>
      <c r="E12" s="86" t="n">
        <v>1</v>
      </c>
      <c r="F12" s="88" t="n">
        <v>361</v>
      </c>
      <c r="G12" s="88" t="n">
        <v>361</v>
      </c>
      <c r="H12" s="88" t="n">
        <v>29.05</v>
      </c>
      <c r="I12" s="88" t="n">
        <v>29.05</v>
      </c>
      <c r="J12" s="87" t="inlineStr">
        <is>
          <t>SSB S000069</t>
        </is>
      </c>
    </row>
    <row r="13" ht="13.5" customHeight="1" s="66">
      <c r="A13" s="83" t="n">
        <v>9</v>
      </c>
      <c r="B13" s="84" t="inlineStr">
        <is>
          <t>Gauze</t>
        </is>
      </c>
      <c r="C13" s="84" t="inlineStr">
        <is>
          <t>Sterile</t>
        </is>
      </c>
      <c r="D13" s="83" t="inlineStr">
        <is>
          <t>No.</t>
        </is>
      </c>
      <c r="E13" s="83" t="n">
        <v>4</v>
      </c>
      <c r="F13" s="85" t="n">
        <v>14</v>
      </c>
      <c r="G13" s="85" t="n">
        <v>56</v>
      </c>
      <c r="H13" s="85" t="n">
        <v>5.46</v>
      </c>
      <c r="I13" s="85" t="n">
        <v>21.84</v>
      </c>
      <c r="J13" s="84" t="inlineStr">
        <is>
          <t>Vivek F-747</t>
        </is>
      </c>
    </row>
    <row r="14" ht="13.5" customHeight="1" s="66">
      <c r="A14" s="86" t="n">
        <v>10</v>
      </c>
      <c r="B14" s="87" t="inlineStr">
        <is>
          <t>Betadine 1.5cm / Scrub</t>
        </is>
      </c>
      <c r="C14" s="87" t="inlineStr">
        <is>
          <t>Betadine scrub</t>
        </is>
      </c>
      <c r="D14" s="86" t="inlineStr">
        <is>
          <t>No.</t>
        </is>
      </c>
      <c r="E14" s="86" t="n">
        <v>1</v>
      </c>
      <c r="F14" s="88" t="n">
        <v>236.25</v>
      </c>
      <c r="G14" s="88" t="n">
        <v>236.25</v>
      </c>
      <c r="H14" s="88" t="n">
        <v>200</v>
      </c>
      <c r="I14" s="88" t="n">
        <v>200</v>
      </c>
      <c r="J14" s="87" t="inlineStr">
        <is>
          <t>SSB S000069</t>
        </is>
      </c>
    </row>
    <row r="15" ht="13.5" customHeight="1" s="66">
      <c r="A15" s="83" t="n">
        <v>11</v>
      </c>
      <c r="B15" s="84" t="inlineStr">
        <is>
          <t>NS 1000ml</t>
        </is>
      </c>
      <c r="C15" s="84" t="inlineStr">
        <is>
          <t>Normal Saline 1L</t>
        </is>
      </c>
      <c r="D15" s="83" t="inlineStr">
        <is>
          <t>No.</t>
        </is>
      </c>
      <c r="E15" s="83" t="n">
        <v>1</v>
      </c>
      <c r="F15" s="85" t="n">
        <v>62.22</v>
      </c>
      <c r="G15" s="85" t="n">
        <v>62.22</v>
      </c>
      <c r="H15" s="85" t="n">
        <v>30.48</v>
      </c>
      <c r="I15" s="85" t="n">
        <v>30.48</v>
      </c>
      <c r="J15" s="84" t="inlineStr">
        <is>
          <t>SSB S000197/F748</t>
        </is>
      </c>
    </row>
    <row r="16" ht="13.5" customHeight="1" s="66">
      <c r="A16" s="86" t="n">
        <v>12</v>
      </c>
      <c r="B16" s="87" t="inlineStr">
        <is>
          <t>Gloves 7 No.</t>
        </is>
      </c>
      <c r="C16" s="87" t="inlineStr">
        <is>
          <t>Sterile surgical</t>
        </is>
      </c>
      <c r="D16" s="86" t="inlineStr">
        <is>
          <t>No.</t>
        </is>
      </c>
      <c r="E16" s="86" t="n">
        <v>2</v>
      </c>
      <c r="F16" s="88" t="n">
        <v>91</v>
      </c>
      <c r="G16" s="88" t="n">
        <v>182</v>
      </c>
      <c r="H16" s="88" t="n">
        <v>19.06</v>
      </c>
      <c r="I16" s="88" t="n">
        <v>38.12</v>
      </c>
      <c r="J16" s="87" t="inlineStr">
        <is>
          <t>Vivek F-747</t>
        </is>
      </c>
    </row>
    <row r="17" ht="13.5" customHeight="1" s="66">
      <c r="A17" s="83" t="n">
        <v>13</v>
      </c>
      <c r="B17" s="84" t="inlineStr">
        <is>
          <t>Spirit</t>
        </is>
      </c>
      <c r="C17" s="84" t="inlineStr">
        <is>
          <t>Isopropyl Alcohol</t>
        </is>
      </c>
      <c r="D17" s="83" t="inlineStr">
        <is>
          <t>No.</t>
        </is>
      </c>
      <c r="E17" s="83" t="n">
        <v>1</v>
      </c>
      <c r="F17" s="85" t="n">
        <v>150</v>
      </c>
      <c r="G17" s="85" t="n">
        <v>150</v>
      </c>
      <c r="H17" s="85" t="n">
        <v>38.1</v>
      </c>
      <c r="I17" s="85" t="n">
        <v>38.1</v>
      </c>
      <c r="J17" s="84" t="inlineStr">
        <is>
          <t>SSB S000069</t>
        </is>
      </c>
    </row>
    <row r="18" ht="13.5" customHeight="1" s="66">
      <c r="A18" s="86" t="n">
        <v>14</v>
      </c>
      <c r="B18" s="87" t="inlineStr">
        <is>
          <t>Inj. Rantac</t>
        </is>
      </c>
      <c r="C18" s="87" t="inlineStr">
        <is>
          <t>Ranitidine</t>
        </is>
      </c>
      <c r="D18" s="86" t="inlineStr">
        <is>
          <t>No.</t>
        </is>
      </c>
      <c r="E18" s="86" t="n">
        <v>1</v>
      </c>
      <c r="F18" s="88" t="n">
        <v>7.48</v>
      </c>
      <c r="G18" s="88" t="n">
        <v>7.48</v>
      </c>
      <c r="H18" s="88" t="n">
        <v>4.29</v>
      </c>
      <c r="I18" s="88" t="n">
        <v>4.29</v>
      </c>
      <c r="J18" s="87" t="inlineStr">
        <is>
          <t>SSB S000068</t>
        </is>
      </c>
    </row>
    <row r="19" ht="13.5" customHeight="1" s="66">
      <c r="A19" s="83" t="n">
        <v>15</v>
      </c>
      <c r="B19" s="84" t="inlineStr">
        <is>
          <t>Lox 2% Jelly</t>
        </is>
      </c>
      <c r="C19" s="84" t="inlineStr">
        <is>
          <t>Lignocaine Jelly</t>
        </is>
      </c>
      <c r="D19" s="83" t="inlineStr">
        <is>
          <t>No.</t>
        </is>
      </c>
      <c r="E19" s="83" t="n">
        <v>1</v>
      </c>
      <c r="F19" s="85" t="n">
        <v>37.95</v>
      </c>
      <c r="G19" s="85" t="n">
        <v>37.95</v>
      </c>
      <c r="H19" s="85" t="n">
        <v>27</v>
      </c>
      <c r="I19" s="85" t="n">
        <v>27</v>
      </c>
      <c r="J19" s="84" t="inlineStr">
        <is>
          <t>Vivek F-748</t>
        </is>
      </c>
    </row>
    <row r="20" ht="13.5" customHeight="1" s="66">
      <c r="A20" s="89" t="n">
        <v>16</v>
      </c>
      <c r="B20" s="90" t="inlineStr">
        <is>
          <t>O2</t>
        </is>
      </c>
      <c r="C20" s="90" t="inlineStr">
        <is>
          <t>Oxygen</t>
        </is>
      </c>
      <c r="D20" s="89" t="inlineStr">
        <is>
          <t>No.</t>
        </is>
      </c>
      <c r="E20" s="89" t="n">
        <v>1</v>
      </c>
      <c r="F20" s="91" t="inlineStr">
        <is>
          <t>⚠</t>
        </is>
      </c>
      <c r="G20" s="91" t="inlineStr">
        <is>
          <t>⚠</t>
        </is>
      </c>
      <c r="H20" s="91" t="inlineStr">
        <is>
          <t>⚠</t>
        </is>
      </c>
      <c r="I20" s="91" t="inlineStr">
        <is>
          <t>⚠</t>
        </is>
      </c>
      <c r="J20" s="90" t="inlineStr">
        <is>
          <t>⚠ MRP NOT FOUND — fill in manually</t>
        </is>
      </c>
    </row>
    <row r="21" ht="13.5" customHeight="1" s="66">
      <c r="A21" s="89" t="n">
        <v>17</v>
      </c>
      <c r="B21" s="90" t="inlineStr">
        <is>
          <t>Cardiac Monitor</t>
        </is>
      </c>
      <c r="C21" s="90" t="inlineStr">
        <is>
          <t>Equipment</t>
        </is>
      </c>
      <c r="D21" s="89" t="inlineStr">
        <is>
          <t>No.</t>
        </is>
      </c>
      <c r="E21" s="89" t="n">
        <v>1</v>
      </c>
      <c r="F21" s="91" t="inlineStr">
        <is>
          <t>⚠</t>
        </is>
      </c>
      <c r="G21" s="91" t="inlineStr">
        <is>
          <t>⚠</t>
        </is>
      </c>
      <c r="H21" s="91" t="inlineStr">
        <is>
          <t>⚠</t>
        </is>
      </c>
      <c r="I21" s="91" t="inlineStr">
        <is>
          <t>⚠</t>
        </is>
      </c>
      <c r="J21" s="90" t="inlineStr">
        <is>
          <t>⚠ MRP NOT FOUND — fill in manually</t>
        </is>
      </c>
    </row>
    <row r="22" ht="13.5" customHeight="1" s="66">
      <c r="A22" s="89" t="n">
        <v>18</v>
      </c>
      <c r="B22" s="90" t="inlineStr">
        <is>
          <t>Pulse Oximeter</t>
        </is>
      </c>
      <c r="C22" s="90" t="inlineStr">
        <is>
          <t>Equipment</t>
        </is>
      </c>
      <c r="D22" s="89" t="inlineStr">
        <is>
          <t>No.</t>
        </is>
      </c>
      <c r="E22" s="89" t="n">
        <v>1</v>
      </c>
      <c r="F22" s="91" t="inlineStr">
        <is>
          <t>⚠</t>
        </is>
      </c>
      <c r="G22" s="91" t="inlineStr">
        <is>
          <t>⚠</t>
        </is>
      </c>
      <c r="H22" s="91" t="inlineStr">
        <is>
          <t>⚠</t>
        </is>
      </c>
      <c r="I22" s="91" t="inlineStr">
        <is>
          <t>⚠</t>
        </is>
      </c>
      <c r="J22" s="90" t="inlineStr">
        <is>
          <t>⚠ MRP NOT FOUND — fill in manually</t>
        </is>
      </c>
    </row>
    <row r="23" ht="15.75" customHeight="1" s="66">
      <c r="A23" s="96" t="inlineStr">
        <is>
          <t xml:space="preserve">  Subtotal — Consumables / Medicines</t>
        </is>
      </c>
      <c r="B23" s="97" t="n"/>
      <c r="C23" s="97" t="n"/>
      <c r="D23" s="97" t="n"/>
      <c r="E23" s="97" t="n"/>
      <c r="F23" s="97" t="n"/>
      <c r="G23" s="98" t="n">
        <v>1707.45</v>
      </c>
      <c r="H23" s="99" t="n"/>
      <c r="I23" s="98" t="n">
        <v>602.8</v>
      </c>
      <c r="J23" s="99" t="n"/>
    </row>
    <row r="25" ht="15" customHeight="1" s="66">
      <c r="A25" s="100" t="inlineStr">
        <is>
          <t xml:space="preserve">  SECTION B — ROOM / BED CHARGES</t>
        </is>
      </c>
    </row>
    <row r="26" ht="13.5" customHeight="1" s="66">
      <c r="A26" s="101" t="n">
        <v>1</v>
      </c>
      <c r="B26" s="102" t="inlineStr">
        <is>
          <t>Bed / Room Charges</t>
        </is>
      </c>
      <c r="C26" s="102" t="inlineStr">
        <is>
          <t>General Ward — 1 Day</t>
        </is>
      </c>
      <c r="D26" s="101" t="inlineStr">
        <is>
          <t>Day</t>
        </is>
      </c>
      <c r="E26" s="101" t="n">
        <v>1</v>
      </c>
      <c r="F26" s="103" t="n">
        <v>1000</v>
      </c>
      <c r="G26" s="103" t="n">
        <v>1000</v>
      </c>
      <c r="H26" s="102" t="inlineStr">
        <is>
          <t>—</t>
        </is>
      </c>
      <c r="I26" s="102" t="inlineStr">
        <is>
          <t>—</t>
        </is>
      </c>
      <c r="J26" s="104" t="inlineStr">
        <is>
          <t>Fixed hospital rate</t>
        </is>
      </c>
    </row>
    <row r="28" ht="15" customHeight="1" s="66">
      <c r="A28" s="105" t="inlineStr">
        <is>
          <t xml:space="preserve">  SECTION C — OT / PROCEDURE CHARGES</t>
        </is>
      </c>
    </row>
    <row r="29" ht="13.5" customHeight="1" s="66">
      <c r="A29" s="106" t="n">
        <v>1</v>
      </c>
      <c r="B29" s="107" t="inlineStr">
        <is>
          <t>OT / Procedure Charges</t>
        </is>
      </c>
      <c r="C29" s="107" t="inlineStr">
        <is>
          <t>Per procedure</t>
        </is>
      </c>
      <c r="D29" s="106" t="inlineStr">
        <is>
          <t>—</t>
        </is>
      </c>
      <c r="E29" s="106" t="n">
        <v>1</v>
      </c>
      <c r="F29" s="108" t="n">
        <v>1500</v>
      </c>
      <c r="G29" s="108" t="n">
        <v>1500</v>
      </c>
      <c r="H29" s="107" t="inlineStr">
        <is>
          <t>—</t>
        </is>
      </c>
      <c r="I29" s="107" t="inlineStr">
        <is>
          <t>—</t>
        </is>
      </c>
      <c r="J29" s="109" t="inlineStr">
        <is>
          <t>Fixed hospital rate</t>
        </is>
      </c>
    </row>
    <row r="31" ht="21.75" customHeight="1" s="66">
      <c r="A31" s="110" t="inlineStr">
        <is>
          <t>GRAND TOTAL PATIENT BILL</t>
        </is>
      </c>
      <c r="B31" s="111" t="n"/>
      <c r="C31" s="111" t="n"/>
      <c r="D31" s="111" t="n"/>
      <c r="E31" s="111" t="n"/>
      <c r="F31" s="111" t="n"/>
      <c r="G31" s="112" t="n">
        <v>4207.45</v>
      </c>
      <c r="H31" s="113" t="inlineStr">
        <is>
          <t>Total Cost: ₹602.80  |  Margin: ₹3,604.65</t>
        </is>
      </c>
      <c r="I31" s="111" t="n"/>
      <c r="J31" s="114" t="n"/>
    </row>
    <row r="33" ht="18" customHeight="1" s="66">
      <c r="A33" s="115" t="inlineStr">
        <is>
          <t xml:space="preserve">  🟡 Amber rows = estimated MRP (market/proxy rate); cost shown as 30% below MRP.   🔴 Red rows = MRP not found; enter manually.   White/blue rows = actual invoice MRP.</t>
        </is>
      </c>
    </row>
    <row r="34" ht="18" customHeight="1" s="66">
      <c r="A34" s="116" t="inlineStr">
        <is>
          <t>⚠ 3 item(s) without MRP: Pulse Oximeter | O2 | Cardiac Monitor</t>
        </is>
      </c>
    </row>
  </sheetData>
  <mergeCells count="12">
    <mergeCell ref="A25:J25"/>
    <mergeCell ref="A1:J1"/>
    <mergeCell ref="E2:F2"/>
    <mergeCell ref="I2:J2"/>
    <mergeCell ref="A23:F23"/>
    <mergeCell ref="A3:J3"/>
    <mergeCell ref="A31:F31"/>
    <mergeCell ref="A34:J34"/>
    <mergeCell ref="A2:D2"/>
    <mergeCell ref="H31:I31"/>
    <mergeCell ref="A28:J28"/>
    <mergeCell ref="A33:J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11" activePane="bottomLeft" state="frozen"/>
      <selection pane="topLeft" activeCell="A1" activeCellId="0" sqref="A1"/>
      <selection pane="bottomLeft" activeCell="B13" activeCellId="0" sqref="B13"/>
    </sheetView>
  </sheetViews>
  <sheetFormatPr baseColWidth="8" defaultColWidth="8.6328125" defaultRowHeight="14.25" zeroHeight="0" outlineLevelRow="0"/>
  <cols>
    <col width="5" customWidth="1" style="65" min="1" max="1"/>
    <col width="30" customWidth="1" style="65" min="2" max="2"/>
    <col width="20" customWidth="1" style="65" min="3" max="3"/>
    <col width="9" customWidth="1" style="65" min="4" max="4"/>
    <col width="6" customWidth="1" style="65" min="5" max="5"/>
    <col width="14" customWidth="1" style="65" min="6" max="6"/>
    <col width="15" customWidth="1" style="65" min="7" max="7"/>
    <col width="14" customWidth="1" style="65" min="8" max="8"/>
    <col width="15" customWidth="1" style="65" min="9" max="9"/>
    <col width="22" customWidth="1" style="65" min="10" max="10"/>
  </cols>
  <sheetData>
    <row r="1" ht="21.75" customHeight="1" s="66">
      <c r="A1" s="78" t="inlineStr">
        <is>
          <t>BK ADITYA MULTISPECIALTY HOSPITAL — PATIENT BILL</t>
        </is>
      </c>
    </row>
    <row r="2" ht="18" customHeight="1" s="66">
      <c r="A2" s="79" t="inlineStr">
        <is>
          <t>Patient: Mohammedal Hasina</t>
        </is>
      </c>
      <c r="E2" s="80" t="inlineStr">
        <is>
          <t>Doctor: Dr. S. Gupta</t>
        </is>
      </c>
      <c r="G2" s="80" t="inlineStr">
        <is>
          <t>Date: 01/05/2026</t>
        </is>
      </c>
      <c r="H2" s="80" t="inlineStr">
        <is>
          <t>Indent: OT</t>
        </is>
      </c>
      <c r="I2" s="80" t="inlineStr">
        <is>
          <t>Type: OT</t>
        </is>
      </c>
    </row>
    <row r="3" ht="15" customHeight="1" s="66">
      <c r="A3" s="81" t="inlineStr">
        <is>
          <t xml:space="preserve">  SECTION A — CONSUMABLES &amp; MEDICINES</t>
        </is>
      </c>
    </row>
    <row r="4" ht="30" customHeight="1" s="66">
      <c r="A4" s="82" t="inlineStr">
        <is>
          <t>Sl</t>
        </is>
      </c>
      <c r="B4" s="82" t="inlineStr">
        <is>
          <t>Item Name</t>
        </is>
      </c>
      <c r="C4" s="82" t="inlineStr">
        <is>
          <t>Specification</t>
        </is>
      </c>
      <c r="D4" s="82" t="inlineStr">
        <is>
          <t>Unit</t>
        </is>
      </c>
      <c r="E4" s="82" t="inlineStr">
        <is>
          <t>Qty</t>
        </is>
      </c>
      <c r="F4" s="82" t="inlineStr">
        <is>
          <t>MRP/Unit (₹)</t>
        </is>
      </c>
      <c r="G4" s="82" t="inlineStr">
        <is>
          <t>Charge @MRP (₹)</t>
        </is>
      </c>
      <c r="H4" s="82" t="inlineStr">
        <is>
          <t>Cost/Unit (₹)</t>
        </is>
      </c>
      <c r="I4" s="82" t="inlineStr">
        <is>
          <t>Cost Total (₹)</t>
        </is>
      </c>
      <c r="J4" s="82" t="inlineStr">
        <is>
          <t>Source / Remarks</t>
        </is>
      </c>
    </row>
    <row r="5" ht="13.5" customHeight="1" s="66">
      <c r="A5" s="83" t="n">
        <v>1</v>
      </c>
      <c r="B5" s="84" t="inlineStr">
        <is>
          <t>Gloves 7 No.</t>
        </is>
      </c>
      <c r="C5" s="84" t="inlineStr">
        <is>
          <t>Sterile surgical</t>
        </is>
      </c>
      <c r="D5" s="83" t="inlineStr">
        <is>
          <t>No.</t>
        </is>
      </c>
      <c r="E5" s="83" t="n">
        <v>2</v>
      </c>
      <c r="F5" s="85" t="n">
        <v>91</v>
      </c>
      <c r="G5" s="85" t="n">
        <v>182</v>
      </c>
      <c r="H5" s="85" t="n">
        <v>19.06</v>
      </c>
      <c r="I5" s="85" t="n">
        <v>38.12</v>
      </c>
      <c r="J5" s="84" t="inlineStr">
        <is>
          <t>Vivek F-747</t>
        </is>
      </c>
    </row>
    <row r="6" ht="13.5" customHeight="1" s="66">
      <c r="A6" s="86" t="n">
        <v>2</v>
      </c>
      <c r="B6" s="87" t="inlineStr">
        <is>
          <t>Betadine 1.5cm / 2 Scrub</t>
        </is>
      </c>
      <c r="C6" s="87" t="inlineStr">
        <is>
          <t>Betadine scrub</t>
        </is>
      </c>
      <c r="D6" s="86" t="inlineStr">
        <is>
          <t>No.</t>
        </is>
      </c>
      <c r="E6" s="86" t="n">
        <v>1</v>
      </c>
      <c r="F6" s="88" t="n">
        <v>236.25</v>
      </c>
      <c r="G6" s="88" t="n">
        <v>236.25</v>
      </c>
      <c r="H6" s="88" t="n">
        <v>200</v>
      </c>
      <c r="I6" s="88" t="n">
        <v>200</v>
      </c>
      <c r="J6" s="87" t="inlineStr">
        <is>
          <t>SSB S000069</t>
        </is>
      </c>
    </row>
    <row r="7" ht="13.5" customHeight="1" s="66">
      <c r="A7" s="83" t="n">
        <v>3</v>
      </c>
      <c r="B7" s="84" t="inlineStr">
        <is>
          <t>Gauze</t>
        </is>
      </c>
      <c r="C7" s="84" t="inlineStr">
        <is>
          <t>Sterile</t>
        </is>
      </c>
      <c r="D7" s="83" t="inlineStr">
        <is>
          <t>No.</t>
        </is>
      </c>
      <c r="E7" s="83" t="n">
        <v>4</v>
      </c>
      <c r="F7" s="85" t="n">
        <v>14</v>
      </c>
      <c r="G7" s="85" t="n">
        <v>56</v>
      </c>
      <c r="H7" s="85" t="n">
        <v>5.46</v>
      </c>
      <c r="I7" s="85" t="n">
        <v>21.84</v>
      </c>
      <c r="J7" s="84" t="inlineStr">
        <is>
          <t>Vivek F-747</t>
        </is>
      </c>
    </row>
    <row r="8" ht="13.5" customHeight="1" s="66">
      <c r="A8" s="86" t="n">
        <v>4</v>
      </c>
      <c r="B8" s="87" t="inlineStr">
        <is>
          <t>Lox 2% Jelly</t>
        </is>
      </c>
      <c r="C8" s="87" t="inlineStr">
        <is>
          <t>Lignocaine Jelly</t>
        </is>
      </c>
      <c r="D8" s="86" t="inlineStr">
        <is>
          <t>No.</t>
        </is>
      </c>
      <c r="E8" s="86" t="n">
        <v>1</v>
      </c>
      <c r="F8" s="88" t="n">
        <v>37.95</v>
      </c>
      <c r="G8" s="88" t="n">
        <v>37.95</v>
      </c>
      <c r="H8" s="88" t="n">
        <v>27</v>
      </c>
      <c r="I8" s="88" t="n">
        <v>27</v>
      </c>
      <c r="J8" s="87" t="inlineStr">
        <is>
          <t>Vivek F-748</t>
        </is>
      </c>
    </row>
    <row r="9" ht="13.5" customHeight="1" s="66">
      <c r="A9" s="83" t="n">
        <v>5</v>
      </c>
      <c r="B9" s="84" t="inlineStr">
        <is>
          <t>NS 1000ml</t>
        </is>
      </c>
      <c r="C9" s="84" t="inlineStr">
        <is>
          <t>Normal Saline 1L</t>
        </is>
      </c>
      <c r="D9" s="83" t="inlineStr">
        <is>
          <t>No.</t>
        </is>
      </c>
      <c r="E9" s="83" t="n">
        <v>1</v>
      </c>
      <c r="F9" s="85" t="n">
        <v>62.22</v>
      </c>
      <c r="G9" s="85" t="n">
        <v>62.22</v>
      </c>
      <c r="H9" s="85" t="n">
        <v>30.48</v>
      </c>
      <c r="I9" s="85" t="n">
        <v>30.48</v>
      </c>
      <c r="J9" s="84" t="inlineStr">
        <is>
          <t>SSB S000197/F748</t>
        </is>
      </c>
    </row>
    <row r="10" ht="15.75" customHeight="1" s="66">
      <c r="A10" s="96" t="inlineStr">
        <is>
          <t xml:space="preserve">  Subtotal — Consumables / Medicines</t>
        </is>
      </c>
      <c r="B10" s="97" t="n"/>
      <c r="C10" s="97" t="n"/>
      <c r="D10" s="97" t="n"/>
      <c r="E10" s="97" t="n"/>
      <c r="F10" s="97" t="n"/>
      <c r="G10" s="98" t="n">
        <v>574.42</v>
      </c>
      <c r="H10" s="99" t="n"/>
      <c r="I10" s="98" t="n">
        <v>317.44</v>
      </c>
      <c r="J10" s="99" t="n"/>
    </row>
    <row r="12" ht="15" customHeight="1" s="66">
      <c r="A12" s="100" t="inlineStr">
        <is>
          <t xml:space="preserve">  SECTION B — ROOM / BED CHARGES</t>
        </is>
      </c>
    </row>
    <row r="13" ht="13.5" customHeight="1" s="66">
      <c r="A13" s="101" t="n">
        <v>1</v>
      </c>
      <c r="B13" s="102" t="inlineStr">
        <is>
          <t>Bed / Room Charges</t>
        </is>
      </c>
      <c r="C13" s="102" t="inlineStr">
        <is>
          <t>General Ward — 1 Day</t>
        </is>
      </c>
      <c r="D13" s="101" t="inlineStr">
        <is>
          <t>Day</t>
        </is>
      </c>
      <c r="E13" s="101" t="n">
        <v>1</v>
      </c>
      <c r="F13" s="103" t="n">
        <v>1000</v>
      </c>
      <c r="G13" s="103" t="n">
        <v>1000</v>
      </c>
      <c r="H13" s="102" t="inlineStr">
        <is>
          <t>—</t>
        </is>
      </c>
      <c r="I13" s="102" t="inlineStr">
        <is>
          <t>—</t>
        </is>
      </c>
      <c r="J13" s="104" t="inlineStr">
        <is>
          <t>Fixed hospital rate</t>
        </is>
      </c>
    </row>
    <row r="15" ht="15" customHeight="1" s="66">
      <c r="A15" s="105" t="inlineStr">
        <is>
          <t xml:space="preserve">  SECTION C — OT / PROCEDURE CHARGES</t>
        </is>
      </c>
    </row>
    <row r="16" ht="13.5" customHeight="1" s="66">
      <c r="A16" s="106" t="n">
        <v>1</v>
      </c>
      <c r="B16" s="107" t="inlineStr">
        <is>
          <t>OT / Procedure Charges</t>
        </is>
      </c>
      <c r="C16" s="107" t="inlineStr">
        <is>
          <t>Per procedure</t>
        </is>
      </c>
      <c r="D16" s="106" t="inlineStr">
        <is>
          <t>—</t>
        </is>
      </c>
      <c r="E16" s="106" t="n">
        <v>1</v>
      </c>
      <c r="F16" s="108" t="n">
        <v>1500</v>
      </c>
      <c r="G16" s="108" t="n">
        <v>1500</v>
      </c>
      <c r="H16" s="107" t="inlineStr">
        <is>
          <t>—</t>
        </is>
      </c>
      <c r="I16" s="107" t="inlineStr">
        <is>
          <t>—</t>
        </is>
      </c>
      <c r="J16" s="109" t="inlineStr">
        <is>
          <t>Fixed hospital rate</t>
        </is>
      </c>
    </row>
    <row r="18" ht="21.75" customHeight="1" s="66">
      <c r="A18" s="110" t="inlineStr">
        <is>
          <t>GRAND TOTAL PATIENT BILL</t>
        </is>
      </c>
      <c r="B18" s="111" t="n"/>
      <c r="C18" s="111" t="n"/>
      <c r="D18" s="111" t="n"/>
      <c r="E18" s="111" t="n"/>
      <c r="F18" s="111" t="n"/>
      <c r="G18" s="112" t="n">
        <v>3074.42</v>
      </c>
      <c r="H18" s="113" t="inlineStr">
        <is>
          <t>Total Cost: ₹317.44  |  Margin: ₹2,756.98</t>
        </is>
      </c>
      <c r="I18" s="111" t="n"/>
      <c r="J18" s="114" t="n"/>
    </row>
    <row r="20" ht="18" customHeight="1" s="66">
      <c r="A20" s="115" t="inlineStr">
        <is>
          <t xml:space="preserve">  🟡 Amber rows = estimated MRP (market/proxy rate); cost shown as 30% below MRP.   🔴 Red rows = MRP not found; enter manually.   White/blue rows = actual invoice MRP.</t>
        </is>
      </c>
    </row>
  </sheetData>
  <mergeCells count="11">
    <mergeCell ref="A1:J1"/>
    <mergeCell ref="A10:F10"/>
    <mergeCell ref="E2:F2"/>
    <mergeCell ref="I2:J2"/>
    <mergeCell ref="A3:J3"/>
    <mergeCell ref="H18:I18"/>
    <mergeCell ref="A12:J12"/>
    <mergeCell ref="A15:J15"/>
    <mergeCell ref="A18:F18"/>
    <mergeCell ref="A2:D2"/>
    <mergeCell ref="A20:J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J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328125" defaultRowHeight="14.25" zeroHeight="0" outlineLevelRow="0"/>
  <cols>
    <col width="5" customWidth="1" style="65" min="1" max="1"/>
    <col width="30" customWidth="1" style="65" min="2" max="2"/>
    <col width="20" customWidth="1" style="65" min="3" max="3"/>
    <col width="9" customWidth="1" style="65" min="4" max="4"/>
    <col width="6" customWidth="1" style="65" min="5" max="5"/>
    <col width="14" customWidth="1" style="65" min="6" max="6"/>
    <col width="15" customWidth="1" style="65" min="7" max="7"/>
    <col width="14" customWidth="1" style="65" min="8" max="8"/>
    <col width="15" customWidth="1" style="65" min="9" max="9"/>
    <col width="22" customWidth="1" style="65" min="10" max="10"/>
  </cols>
  <sheetData>
    <row r="1" ht="21.75" customHeight="1" s="66">
      <c r="A1" s="78" t="inlineStr">
        <is>
          <t>BK ADITYA MULTISPECIALTY HOSPITAL — PATIENT BILL</t>
        </is>
      </c>
    </row>
    <row r="2" ht="18" customHeight="1" s="66">
      <c r="A2" s="79" t="inlineStr">
        <is>
          <t>Patient: Sahinara Begam (2)</t>
        </is>
      </c>
      <c r="E2" s="80" t="inlineStr">
        <is>
          <t>Doctor: Dr. S. Gupta</t>
        </is>
      </c>
      <c r="G2" s="80" t="inlineStr">
        <is>
          <t>Date: 25/04/2026</t>
        </is>
      </c>
      <c r="H2" s="80" t="inlineStr">
        <is>
          <t>Indent: —</t>
        </is>
      </c>
      <c r="I2" s="80" t="inlineStr">
        <is>
          <t>Type: Ward</t>
        </is>
      </c>
    </row>
    <row r="3" ht="15" customHeight="1" s="66">
      <c r="A3" s="81" t="inlineStr">
        <is>
          <t xml:space="preserve">  SECTION A — CONSUMABLES &amp; MEDICINES</t>
        </is>
      </c>
    </row>
    <row r="4" ht="30" customHeight="1" s="66">
      <c r="A4" s="82" t="inlineStr">
        <is>
          <t>Sl</t>
        </is>
      </c>
      <c r="B4" s="82" t="inlineStr">
        <is>
          <t>Item Name</t>
        </is>
      </c>
      <c r="C4" s="82" t="inlineStr">
        <is>
          <t>Specification</t>
        </is>
      </c>
      <c r="D4" s="82" t="inlineStr">
        <is>
          <t>Unit</t>
        </is>
      </c>
      <c r="E4" s="82" t="inlineStr">
        <is>
          <t>Qty</t>
        </is>
      </c>
      <c r="F4" s="82" t="inlineStr">
        <is>
          <t>MRP/Unit (₹)</t>
        </is>
      </c>
      <c r="G4" s="82" t="inlineStr">
        <is>
          <t>Charge @MRP (₹)</t>
        </is>
      </c>
      <c r="H4" s="82" t="inlineStr">
        <is>
          <t>Cost/Unit (₹)</t>
        </is>
      </c>
      <c r="I4" s="82" t="inlineStr">
        <is>
          <t>Cost Total (₹)</t>
        </is>
      </c>
      <c r="J4" s="82" t="inlineStr">
        <is>
          <t>Source / Remarks</t>
        </is>
      </c>
    </row>
    <row r="5" ht="13.5" customHeight="1" s="66">
      <c r="A5" s="83" t="n">
        <v>1</v>
      </c>
      <c r="B5" s="84" t="inlineStr">
        <is>
          <t>Gauze</t>
        </is>
      </c>
      <c r="C5" s="84" t="inlineStr">
        <is>
          <t>Sterile</t>
        </is>
      </c>
      <c r="D5" s="83" t="inlineStr">
        <is>
          <t>No.</t>
        </is>
      </c>
      <c r="E5" s="83" t="n">
        <v>6</v>
      </c>
      <c r="F5" s="85" t="n">
        <v>14</v>
      </c>
      <c r="G5" s="85" t="n">
        <v>84</v>
      </c>
      <c r="H5" s="85" t="n">
        <v>5.46</v>
      </c>
      <c r="I5" s="85" t="n">
        <v>32.76</v>
      </c>
      <c r="J5" s="84" t="inlineStr">
        <is>
          <t>Vivek F-747</t>
        </is>
      </c>
    </row>
    <row r="6" ht="13.5" customHeight="1" s="66">
      <c r="A6" s="86" t="n">
        <v>2</v>
      </c>
      <c r="B6" s="87" t="inlineStr">
        <is>
          <t>Gloves 7 No.</t>
        </is>
      </c>
      <c r="C6" s="87" t="inlineStr">
        <is>
          <t>Surgical gloves</t>
        </is>
      </c>
      <c r="D6" s="86" t="inlineStr">
        <is>
          <t>No.</t>
        </is>
      </c>
      <c r="E6" s="86" t="n">
        <v>2</v>
      </c>
      <c r="F6" s="88" t="n">
        <v>91</v>
      </c>
      <c r="G6" s="88" t="n">
        <v>182</v>
      </c>
      <c r="H6" s="88" t="n">
        <v>19.06</v>
      </c>
      <c r="I6" s="88" t="n">
        <v>38.12</v>
      </c>
      <c r="J6" s="87" t="inlineStr">
        <is>
          <t>Vivek F-747</t>
        </is>
      </c>
    </row>
    <row r="7" ht="13.5" customHeight="1" s="66">
      <c r="A7" s="89" t="n">
        <v>3</v>
      </c>
      <c r="B7" s="90" t="inlineStr">
        <is>
          <t>Cap + Mask</t>
        </is>
      </c>
      <c r="C7" s="90" t="inlineStr">
        <is>
          <t>Disposable</t>
        </is>
      </c>
      <c r="D7" s="89" t="inlineStr">
        <is>
          <t>No.</t>
        </is>
      </c>
      <c r="E7" s="89" t="n">
        <v>3</v>
      </c>
      <c r="F7" s="91" t="n">
        <v>25</v>
      </c>
      <c r="G7" s="91" t="n">
        <v>75</v>
      </c>
      <c r="H7" s="91" t="inlineStr">
        <is>
          <t>⚠</t>
        </is>
      </c>
      <c r="I7" s="91" t="inlineStr">
        <is>
          <t>⚠</t>
        </is>
      </c>
      <c r="J7" s="90" t="inlineStr">
        <is>
          <t>MRP filled; cost ⚠</t>
        </is>
      </c>
    </row>
    <row r="8" ht="13.5" customHeight="1" s="66">
      <c r="A8" s="86" t="n">
        <v>4</v>
      </c>
      <c r="B8" s="87" t="inlineStr">
        <is>
          <t>Lox Jelly</t>
        </is>
      </c>
      <c r="C8" s="87" t="inlineStr">
        <is>
          <t>Lignocaine Jelly</t>
        </is>
      </c>
      <c r="D8" s="86" t="inlineStr">
        <is>
          <t>No.</t>
        </is>
      </c>
      <c r="E8" s="86" t="n">
        <v>1</v>
      </c>
      <c r="F8" s="88" t="n">
        <v>37.95</v>
      </c>
      <c r="G8" s="88" t="n">
        <v>37.95</v>
      </c>
      <c r="H8" s="88" t="n">
        <v>27</v>
      </c>
      <c r="I8" s="88" t="n">
        <v>27</v>
      </c>
      <c r="J8" s="87" t="inlineStr">
        <is>
          <t>Vivek F-748</t>
        </is>
      </c>
    </row>
    <row r="9" ht="13.5" customHeight="1" s="66">
      <c r="A9" s="83" t="n">
        <v>5</v>
      </c>
      <c r="B9" s="84" t="inlineStr">
        <is>
          <t>Betadine Lotion 100ml</t>
        </is>
      </c>
      <c r="C9" s="84" t="inlineStr">
        <is>
          <t>Povidone-Iodine</t>
        </is>
      </c>
      <c r="D9" s="83" t="inlineStr">
        <is>
          <t>No.</t>
        </is>
      </c>
      <c r="E9" s="83" t="n">
        <v>1</v>
      </c>
      <c r="F9" s="85" t="n">
        <v>236.25</v>
      </c>
      <c r="G9" s="85" t="n">
        <v>236.25</v>
      </c>
      <c r="H9" s="85" t="n">
        <v>200</v>
      </c>
      <c r="I9" s="85" t="n">
        <v>200</v>
      </c>
      <c r="J9" s="84" t="inlineStr">
        <is>
          <t>SSB S000069</t>
        </is>
      </c>
    </row>
    <row r="10" ht="13.5" customHeight="1" s="66">
      <c r="A10" s="86" t="n">
        <v>6</v>
      </c>
      <c r="B10" s="87" t="inlineStr">
        <is>
          <t>NS 500ml</t>
        </is>
      </c>
      <c r="C10" s="87" t="inlineStr">
        <is>
          <t>Normal Saline</t>
        </is>
      </c>
      <c r="D10" s="86" t="inlineStr">
        <is>
          <t>No.</t>
        </is>
      </c>
      <c r="E10" s="86" t="n">
        <v>1</v>
      </c>
      <c r="F10" s="88" t="n">
        <v>39.05</v>
      </c>
      <c r="G10" s="88" t="n">
        <v>39.05</v>
      </c>
      <c r="H10" s="88" t="n">
        <v>16.67</v>
      </c>
      <c r="I10" s="88" t="n">
        <v>16.67</v>
      </c>
      <c r="J10" s="87" t="inlineStr">
        <is>
          <t>SSB S000068</t>
        </is>
      </c>
    </row>
    <row r="11" ht="15.75" customHeight="1" s="66">
      <c r="A11" s="96" t="inlineStr">
        <is>
          <t xml:space="preserve">  Subtotal — Consumables / Medicines</t>
        </is>
      </c>
      <c r="B11" s="97" t="n"/>
      <c r="C11" s="97" t="n"/>
      <c r="D11" s="97" t="n"/>
      <c r="E11" s="97" t="n"/>
      <c r="F11" s="97" t="n"/>
      <c r="G11" s="98" t="n">
        <v>579.25</v>
      </c>
      <c r="H11" s="99" t="n"/>
      <c r="I11" s="98" t="n">
        <v>314.55</v>
      </c>
      <c r="J11" s="99" t="n"/>
    </row>
    <row r="13" ht="15" customHeight="1" s="66">
      <c r="A13" s="100" t="inlineStr">
        <is>
          <t xml:space="preserve">  SECTION B — ROOM / BED CHARGES</t>
        </is>
      </c>
    </row>
    <row r="14" ht="13.5" customHeight="1" s="66">
      <c r="A14" s="101" t="n">
        <v>1</v>
      </c>
      <c r="B14" s="102" t="inlineStr">
        <is>
          <t>Bed / Room Charges</t>
        </is>
      </c>
      <c r="C14" s="102" t="inlineStr">
        <is>
          <t>General Ward — 1 Day</t>
        </is>
      </c>
      <c r="D14" s="101" t="inlineStr">
        <is>
          <t>Day</t>
        </is>
      </c>
      <c r="E14" s="101" t="n">
        <v>1</v>
      </c>
      <c r="F14" s="103" t="n">
        <v>1000</v>
      </c>
      <c r="G14" s="103" t="n">
        <v>1000</v>
      </c>
      <c r="H14" s="102" t="inlineStr">
        <is>
          <t>—</t>
        </is>
      </c>
      <c r="I14" s="102" t="inlineStr">
        <is>
          <t>—</t>
        </is>
      </c>
      <c r="J14" s="104" t="inlineStr">
        <is>
          <t>Fixed hospital rate</t>
        </is>
      </c>
    </row>
    <row r="16" ht="15" customHeight="1" s="66">
      <c r="A16" s="105" t="inlineStr">
        <is>
          <t xml:space="preserve">  SECTION C — OT / PROCEDURE CHARGES</t>
        </is>
      </c>
    </row>
    <row r="17" ht="13.5" customHeight="1" s="66">
      <c r="A17" s="106" t="n">
        <v>1</v>
      </c>
      <c r="B17" s="107" t="inlineStr">
        <is>
          <t>OT / Procedure Charges</t>
        </is>
      </c>
      <c r="C17" s="107" t="inlineStr">
        <is>
          <t>Per procedure</t>
        </is>
      </c>
      <c r="D17" s="106" t="inlineStr">
        <is>
          <t>—</t>
        </is>
      </c>
      <c r="E17" s="106" t="n">
        <v>1</v>
      </c>
      <c r="F17" s="108" t="n">
        <v>1500</v>
      </c>
      <c r="G17" s="108" t="n">
        <v>1500</v>
      </c>
      <c r="H17" s="107" t="inlineStr">
        <is>
          <t>—</t>
        </is>
      </c>
      <c r="I17" s="107" t="inlineStr">
        <is>
          <t>—</t>
        </is>
      </c>
      <c r="J17" s="109" t="inlineStr">
        <is>
          <t>Fixed hospital rate</t>
        </is>
      </c>
    </row>
    <row r="19" ht="21.75" customHeight="1" s="66">
      <c r="A19" s="110" t="inlineStr">
        <is>
          <t>GRAND TOTAL PATIENT BILL</t>
        </is>
      </c>
      <c r="B19" s="111" t="n"/>
      <c r="C19" s="111" t="n"/>
      <c r="D19" s="111" t="n"/>
      <c r="E19" s="111" t="n"/>
      <c r="F19" s="111" t="n"/>
      <c r="G19" s="112" t="n">
        <v>3079.25</v>
      </c>
      <c r="H19" s="113" t="inlineStr">
        <is>
          <t>Total Cost: ₹314.55  |  Margin: ₹2,764.70</t>
        </is>
      </c>
      <c r="I19" s="111" t="n"/>
      <c r="J19" s="114" t="n"/>
    </row>
    <row r="21" ht="18" customHeight="1" s="66">
      <c r="A21" s="115" t="inlineStr">
        <is>
          <t xml:space="preserve">  🟡 Amber rows = estimated MRP (market/proxy rate); cost shown as 30% below MRP.   🔴 Red rows = MRP not found; enter manually.   White/blue rows = actual invoice MRP.</t>
        </is>
      </c>
    </row>
    <row r="22" ht="18" customHeight="1" s="66">
      <c r="A22" s="116" t="inlineStr">
        <is>
          <t>⚠ 1 item(s) without MRP: Cap + Mask</t>
        </is>
      </c>
    </row>
  </sheetData>
  <mergeCells count="12">
    <mergeCell ref="A1:J1"/>
    <mergeCell ref="A11:F11"/>
    <mergeCell ref="A19:F19"/>
    <mergeCell ref="A22:J22"/>
    <mergeCell ref="E2:F2"/>
    <mergeCell ref="I2:J2"/>
    <mergeCell ref="A3:J3"/>
    <mergeCell ref="A21:J21"/>
    <mergeCell ref="H19:I19"/>
    <mergeCell ref="A2:D2"/>
    <mergeCell ref="A16:J16"/>
    <mergeCell ref="A13:J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J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8" activePane="bottomLeft" state="frozen"/>
      <selection pane="topLeft" activeCell="A1" activeCellId="0" sqref="A1"/>
      <selection pane="bottomLeft" activeCell="B14" activeCellId="0" sqref="B14"/>
    </sheetView>
  </sheetViews>
  <sheetFormatPr baseColWidth="8" defaultColWidth="8.6328125" defaultRowHeight="14.25" zeroHeight="0" outlineLevelRow="0"/>
  <cols>
    <col width="5" customWidth="1" style="65" min="1" max="1"/>
    <col width="30" customWidth="1" style="65" min="2" max="2"/>
    <col width="20" customWidth="1" style="65" min="3" max="3"/>
    <col width="9" customWidth="1" style="65" min="4" max="4"/>
    <col width="6" customWidth="1" style="65" min="5" max="5"/>
    <col width="14" customWidth="1" style="65" min="6" max="6"/>
    <col width="15" customWidth="1" style="65" min="7" max="7"/>
    <col width="14" customWidth="1" style="65" min="8" max="8"/>
    <col width="15" customWidth="1" style="65" min="9" max="9"/>
    <col width="22" customWidth="1" style="65" min="10" max="10"/>
  </cols>
  <sheetData>
    <row r="1" ht="21.75" customHeight="1" s="66">
      <c r="A1" s="78" t="inlineStr">
        <is>
          <t>BK ADITYA MULTISPECIALTY HOSPITAL — PATIENT BILL</t>
        </is>
      </c>
    </row>
    <row r="2" ht="18" customHeight="1" s="66">
      <c r="A2" s="79" t="inlineStr">
        <is>
          <t>Patient: Asish Chaudhary</t>
        </is>
      </c>
      <c r="E2" s="80" t="inlineStr">
        <is>
          <t>Doctor: Dr. S. Gupta</t>
        </is>
      </c>
      <c r="G2" s="80" t="inlineStr">
        <is>
          <t>Date: 22/04/2026</t>
        </is>
      </c>
      <c r="H2" s="80" t="inlineStr">
        <is>
          <t>Indent: —</t>
        </is>
      </c>
      <c r="I2" s="80" t="inlineStr">
        <is>
          <t>Type: Ward</t>
        </is>
      </c>
    </row>
    <row r="3" ht="15" customHeight="1" s="66">
      <c r="A3" s="81" t="inlineStr">
        <is>
          <t xml:space="preserve">  SECTION A — CONSUMABLES &amp; MEDICINES</t>
        </is>
      </c>
    </row>
    <row r="4" ht="30" customHeight="1" s="66">
      <c r="A4" s="82" t="inlineStr">
        <is>
          <t>Sl</t>
        </is>
      </c>
      <c r="B4" s="82" t="inlineStr">
        <is>
          <t>Item Name</t>
        </is>
      </c>
      <c r="C4" s="82" t="inlineStr">
        <is>
          <t>Specification</t>
        </is>
      </c>
      <c r="D4" s="82" t="inlineStr">
        <is>
          <t>Unit</t>
        </is>
      </c>
      <c r="E4" s="82" t="inlineStr">
        <is>
          <t>Qty</t>
        </is>
      </c>
      <c r="F4" s="82" t="inlineStr">
        <is>
          <t>MRP/Unit (₹)</t>
        </is>
      </c>
      <c r="G4" s="82" t="inlineStr">
        <is>
          <t>Charge @MRP (₹)</t>
        </is>
      </c>
      <c r="H4" s="82" t="inlineStr">
        <is>
          <t>Cost/Unit (₹)</t>
        </is>
      </c>
      <c r="I4" s="82" t="inlineStr">
        <is>
          <t>Cost Total (₹)</t>
        </is>
      </c>
      <c r="J4" s="82" t="inlineStr">
        <is>
          <t>Source / Remarks</t>
        </is>
      </c>
    </row>
    <row r="5" ht="13.5" customHeight="1" s="66">
      <c r="A5" s="83" t="n">
        <v>1</v>
      </c>
      <c r="B5" s="84" t="inlineStr">
        <is>
          <t>Gloves 7 No.</t>
        </is>
      </c>
      <c r="C5" s="84" t="inlineStr">
        <is>
          <t>Surgical gloves</t>
        </is>
      </c>
      <c r="D5" s="83" t="inlineStr">
        <is>
          <t>No.</t>
        </is>
      </c>
      <c r="E5" s="83" t="n">
        <v>2</v>
      </c>
      <c r="F5" s="85" t="n">
        <v>91</v>
      </c>
      <c r="G5" s="85" t="n">
        <v>182</v>
      </c>
      <c r="H5" s="85" t="n">
        <v>19.06</v>
      </c>
      <c r="I5" s="85" t="n">
        <v>38.12</v>
      </c>
      <c r="J5" s="84" t="inlineStr">
        <is>
          <t>Vivek F-747</t>
        </is>
      </c>
    </row>
    <row r="6" ht="13.5" customHeight="1" s="66">
      <c r="A6" s="89" t="n">
        <v>2</v>
      </c>
      <c r="B6" s="90" t="inlineStr">
        <is>
          <t>Cap + Mask</t>
        </is>
      </c>
      <c r="C6" s="90" t="inlineStr">
        <is>
          <t>Disposable</t>
        </is>
      </c>
      <c r="D6" s="89" t="inlineStr">
        <is>
          <t>No.</t>
        </is>
      </c>
      <c r="E6" s="89" t="n">
        <v>6</v>
      </c>
      <c r="F6" s="91" t="n">
        <v>25</v>
      </c>
      <c r="G6" s="91" t="n">
        <v>150</v>
      </c>
      <c r="H6" s="91" t="inlineStr">
        <is>
          <t>⚠</t>
        </is>
      </c>
      <c r="I6" s="91" t="inlineStr">
        <is>
          <t>⚠</t>
        </is>
      </c>
      <c r="J6" s="90" t="inlineStr">
        <is>
          <t>MRP filled; cost ⚠</t>
        </is>
      </c>
    </row>
    <row r="7" ht="13.5" customHeight="1" s="66">
      <c r="A7" s="83" t="n">
        <v>3</v>
      </c>
      <c r="B7" s="84" t="inlineStr">
        <is>
          <t>Betadine Lotion 100ml</t>
        </is>
      </c>
      <c r="C7" s="84" t="inlineStr">
        <is>
          <t>Povidone-Iodine</t>
        </is>
      </c>
      <c r="D7" s="83" t="inlineStr">
        <is>
          <t>No.</t>
        </is>
      </c>
      <c r="E7" s="83" t="n">
        <v>1</v>
      </c>
      <c r="F7" s="85" t="n">
        <v>236.25</v>
      </c>
      <c r="G7" s="85" t="n">
        <v>236.25</v>
      </c>
      <c r="H7" s="85" t="n">
        <v>200</v>
      </c>
      <c r="I7" s="85" t="n">
        <v>200</v>
      </c>
      <c r="J7" s="84" t="inlineStr">
        <is>
          <t>SSB S000069</t>
        </is>
      </c>
    </row>
    <row r="8" ht="13.5" customHeight="1" s="66">
      <c r="A8" s="83" t="n"/>
      <c r="B8" s="84" t="inlineStr">
        <is>
          <t xml:space="preserve">IV set </t>
        </is>
      </c>
      <c r="C8" s="84" t="n"/>
      <c r="D8" s="83" t="n"/>
      <c r="E8" s="83" t="n"/>
      <c r="F8" s="85" t="n"/>
      <c r="G8" s="85" t="n"/>
      <c r="H8" s="85" t="n"/>
      <c r="I8" s="85" t="n"/>
      <c r="J8" s="84" t="n"/>
    </row>
    <row r="9" ht="13.5" customHeight="1" s="66">
      <c r="A9" s="89" t="n">
        <v>4</v>
      </c>
      <c r="B9" s="90" t="inlineStr">
        <is>
          <t>NS 500 Ml</t>
        </is>
      </c>
      <c r="C9" s="90" t="inlineStr">
        <is>
          <t>Normal Saline 100ml</t>
        </is>
      </c>
      <c r="D9" s="89" t="inlineStr">
        <is>
          <t>No.</t>
        </is>
      </c>
      <c r="E9" s="89" t="n">
        <v>1</v>
      </c>
      <c r="F9" s="91" t="n">
        <v>39.05</v>
      </c>
      <c r="G9" s="91" t="n">
        <v>39.05</v>
      </c>
      <c r="H9" s="91" t="n">
        <v>22.1</v>
      </c>
      <c r="I9" s="91" t="n">
        <v>22.1</v>
      </c>
      <c r="J9" s="90" t="inlineStr">
        <is>
          <t>Filled from stock/rate card</t>
        </is>
      </c>
    </row>
    <row r="10" ht="15.75" customHeight="1" s="66">
      <c r="A10" s="96" t="inlineStr">
        <is>
          <t xml:space="preserve">  Subtotal — Consumables / Medicines</t>
        </is>
      </c>
      <c r="B10" s="97" t="n"/>
      <c r="C10" s="97" t="n"/>
      <c r="D10" s="97" t="n"/>
      <c r="E10" s="97" t="n"/>
      <c r="F10" s="97" t="n"/>
      <c r="G10" s="98" t="n">
        <v>418.25</v>
      </c>
      <c r="H10" s="99" t="n"/>
      <c r="I10" s="98" t="n">
        <v>238.12</v>
      </c>
      <c r="J10" s="99" t="n"/>
    </row>
    <row r="12" ht="15" customHeight="1" s="66">
      <c r="A12" s="100" t="inlineStr">
        <is>
          <t xml:space="preserve">  SECTION B — ROOM / BED CHARGES</t>
        </is>
      </c>
    </row>
    <row r="13" ht="13.5" customHeight="1" s="66">
      <c r="A13" s="101" t="n">
        <v>1</v>
      </c>
      <c r="B13" s="102" t="inlineStr">
        <is>
          <t>Bed / Room Charges</t>
        </is>
      </c>
      <c r="C13" s="102" t="inlineStr">
        <is>
          <t>General Ward — 1 Day</t>
        </is>
      </c>
      <c r="D13" s="101" t="inlineStr">
        <is>
          <t>Day</t>
        </is>
      </c>
      <c r="E13" s="101" t="n">
        <v>1</v>
      </c>
      <c r="F13" s="103" t="n">
        <v>1000</v>
      </c>
      <c r="G13" s="103" t="n">
        <v>1000</v>
      </c>
      <c r="H13" s="102" t="inlineStr">
        <is>
          <t>—</t>
        </is>
      </c>
      <c r="I13" s="102" t="inlineStr">
        <is>
          <t>—</t>
        </is>
      </c>
      <c r="J13" s="104" t="inlineStr">
        <is>
          <t>Fixed hospital rate</t>
        </is>
      </c>
    </row>
    <row r="15" ht="15" customHeight="1" s="66">
      <c r="A15" s="105" t="inlineStr">
        <is>
          <t xml:space="preserve">  SECTION C — OT / PROCEDURE CHARGES</t>
        </is>
      </c>
    </row>
    <row r="16" ht="13.5" customHeight="1" s="66">
      <c r="A16" s="106" t="n">
        <v>1</v>
      </c>
      <c r="B16" s="107" t="inlineStr">
        <is>
          <t>OT / Procedure Charges</t>
        </is>
      </c>
      <c r="C16" s="107" t="inlineStr">
        <is>
          <t>Per procedure</t>
        </is>
      </c>
      <c r="D16" s="106" t="inlineStr">
        <is>
          <t>—</t>
        </is>
      </c>
      <c r="E16" s="106" t="n">
        <v>1</v>
      </c>
      <c r="F16" s="108" t="n">
        <v>1500</v>
      </c>
      <c r="G16" s="108" t="n">
        <v>1500</v>
      </c>
      <c r="H16" s="107" t="inlineStr">
        <is>
          <t>—</t>
        </is>
      </c>
      <c r="I16" s="107" t="inlineStr">
        <is>
          <t>—</t>
        </is>
      </c>
      <c r="J16" s="109" t="inlineStr">
        <is>
          <t>Fixed hospital rate</t>
        </is>
      </c>
    </row>
    <row r="18" ht="21.75" customHeight="1" s="66">
      <c r="A18" s="110" t="inlineStr">
        <is>
          <t>GRAND TOTAL PATIENT BILL</t>
        </is>
      </c>
      <c r="B18" s="111" t="n"/>
      <c r="C18" s="111" t="n"/>
      <c r="D18" s="111" t="n"/>
      <c r="E18" s="111" t="n"/>
      <c r="F18" s="111" t="n"/>
      <c r="G18" s="112" t="n">
        <v>2918.25</v>
      </c>
      <c r="H18" s="113" t="inlineStr">
        <is>
          <t>Total Cost: ₹238.12  |  Margin: ₹2,680.13</t>
        </is>
      </c>
      <c r="I18" s="111" t="n"/>
      <c r="J18" s="114" t="n"/>
    </row>
    <row r="20" ht="18" customHeight="1" s="66">
      <c r="A20" s="115" t="inlineStr">
        <is>
          <t xml:space="preserve">  🟡 Amber rows = estimated MRP (market/proxy rate); cost shown as 30% below MRP.   🔴 Red rows = MRP not found; enter manually.   White/blue rows = actual invoice MRP.</t>
        </is>
      </c>
    </row>
    <row r="21" ht="18" customHeight="1" s="66">
      <c r="A21" s="116" t="inlineStr">
        <is>
          <t>⚠ 2 item(s) without MRP: Cap + Mask | IV+ NS 100 Ml</t>
        </is>
      </c>
    </row>
  </sheetData>
  <mergeCells count="12">
    <mergeCell ref="A1:J1"/>
    <mergeCell ref="A10:F10"/>
    <mergeCell ref="E2:F2"/>
    <mergeCell ref="I2:J2"/>
    <mergeCell ref="A3:J3"/>
    <mergeCell ref="H18:I18"/>
    <mergeCell ref="A21:J21"/>
    <mergeCell ref="A12:J12"/>
    <mergeCell ref="A15:J15"/>
    <mergeCell ref="A18:F18"/>
    <mergeCell ref="A2:D2"/>
    <mergeCell ref="A20:J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J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328125" defaultRowHeight="14.25" zeroHeight="0" outlineLevelRow="0"/>
  <cols>
    <col width="5" customWidth="1" style="65" min="1" max="1"/>
    <col width="30" customWidth="1" style="65" min="2" max="2"/>
    <col width="20" customWidth="1" style="65" min="3" max="3"/>
    <col width="9" customWidth="1" style="65" min="4" max="4"/>
    <col width="6" customWidth="1" style="65" min="5" max="5"/>
    <col width="14" customWidth="1" style="65" min="6" max="6"/>
    <col width="15" customWidth="1" style="65" min="7" max="7"/>
    <col width="14" customWidth="1" style="65" min="8" max="8"/>
    <col width="15" customWidth="1" style="65" min="9" max="9"/>
    <col width="22" customWidth="1" style="65" min="10" max="10"/>
  </cols>
  <sheetData>
    <row r="1" ht="21.75" customHeight="1" s="66">
      <c r="A1" s="78" t="inlineStr">
        <is>
          <t>BK ADITYA MULTISPECIALTY HOSPITAL — PATIENT BILL</t>
        </is>
      </c>
    </row>
    <row r="2" ht="18" customHeight="1" s="66">
      <c r="A2" s="79" t="inlineStr">
        <is>
          <t>Patient: Rahul Das</t>
        </is>
      </c>
      <c r="E2" s="80" t="inlineStr">
        <is>
          <t>Doctor: Dr. K. Digga</t>
        </is>
      </c>
      <c r="G2" s="80" t="inlineStr">
        <is>
          <t>Date: 22/04/2026</t>
        </is>
      </c>
      <c r="H2" s="80" t="inlineStr">
        <is>
          <t>Indent: 59</t>
        </is>
      </c>
      <c r="I2" s="80" t="inlineStr">
        <is>
          <t>Type: OT+Ward</t>
        </is>
      </c>
    </row>
    <row r="3" ht="15" customHeight="1" s="66">
      <c r="A3" s="81" t="inlineStr">
        <is>
          <t xml:space="preserve">  SECTION A — CONSUMABLES &amp; MEDICINES</t>
        </is>
      </c>
    </row>
    <row r="4" ht="30" customHeight="1" s="66">
      <c r="A4" s="82" t="inlineStr">
        <is>
          <t>Sl</t>
        </is>
      </c>
      <c r="B4" s="82" t="inlineStr">
        <is>
          <t>Item Name</t>
        </is>
      </c>
      <c r="C4" s="82" t="inlineStr">
        <is>
          <t>Specification</t>
        </is>
      </c>
      <c r="D4" s="82" t="inlineStr">
        <is>
          <t>Unit</t>
        </is>
      </c>
      <c r="E4" s="82" t="inlineStr">
        <is>
          <t>Qty</t>
        </is>
      </c>
      <c r="F4" s="82" t="inlineStr">
        <is>
          <t>MRP/Unit (₹)</t>
        </is>
      </c>
      <c r="G4" s="82" t="inlineStr">
        <is>
          <t>Charge @MRP (₹)</t>
        </is>
      </c>
      <c r="H4" s="82" t="inlineStr">
        <is>
          <t>Cost/Unit (₹)</t>
        </is>
      </c>
      <c r="I4" s="82" t="inlineStr">
        <is>
          <t>Cost Total (₹)</t>
        </is>
      </c>
      <c r="J4" s="82" t="inlineStr">
        <is>
          <t>Source / Remarks</t>
        </is>
      </c>
    </row>
    <row r="5" ht="13.5" customHeight="1" s="66">
      <c r="A5" s="83" t="n">
        <v>1</v>
      </c>
      <c r="B5" s="84" t="inlineStr">
        <is>
          <t>Inj. ROPIN Heavy 0.75%</t>
        </is>
      </c>
      <c r="C5" s="84" t="inlineStr">
        <is>
          <t>Ropivacaine Heavy</t>
        </is>
      </c>
      <c r="D5" s="83" t="inlineStr">
        <is>
          <t>No.</t>
        </is>
      </c>
      <c r="E5" s="83" t="n">
        <v>1</v>
      </c>
      <c r="F5" s="85" t="n">
        <v>132.15</v>
      </c>
      <c r="G5" s="85" t="n">
        <v>132.15</v>
      </c>
      <c r="H5" s="85" t="n">
        <v>97.14</v>
      </c>
      <c r="I5" s="85" t="n">
        <v>97.14</v>
      </c>
      <c r="J5" s="84" t="inlineStr">
        <is>
          <t>SSB S000068</t>
        </is>
      </c>
    </row>
    <row r="6" ht="13.5" customHeight="1" s="66">
      <c r="A6" s="86" t="n">
        <v>2</v>
      </c>
      <c r="B6" s="87" t="inlineStr">
        <is>
          <t>Inj. Lox 2%</t>
        </is>
      </c>
      <c r="C6" s="87" t="inlineStr">
        <is>
          <t>Lignocaine</t>
        </is>
      </c>
      <c r="D6" s="86" t="inlineStr">
        <is>
          <t>No.</t>
        </is>
      </c>
      <c r="E6" s="86" t="n">
        <v>1</v>
      </c>
      <c r="F6" s="88" t="n">
        <v>37.95</v>
      </c>
      <c r="G6" s="88" t="n">
        <v>37.95</v>
      </c>
      <c r="H6" s="88" t="n">
        <v>27</v>
      </c>
      <c r="I6" s="88" t="n">
        <v>27</v>
      </c>
      <c r="J6" s="87" t="inlineStr">
        <is>
          <t>Vivek F-748</t>
        </is>
      </c>
    </row>
    <row r="7" ht="13.5" customHeight="1" s="66">
      <c r="A7" s="89" t="n">
        <v>3</v>
      </c>
      <c r="B7" s="90" t="inlineStr">
        <is>
          <t>Inj. Adrenaline</t>
        </is>
      </c>
      <c r="C7" s="90" t="n"/>
      <c r="D7" s="89" t="inlineStr">
        <is>
          <t>No.</t>
        </is>
      </c>
      <c r="E7" s="89" t="n">
        <v>1</v>
      </c>
      <c r="F7" s="91" t="n">
        <v>13.4</v>
      </c>
      <c r="G7" s="91" t="n">
        <v>13.4</v>
      </c>
      <c r="H7" s="91" t="inlineStr">
        <is>
          <t>⚠</t>
        </is>
      </c>
      <c r="I7" s="91" t="inlineStr">
        <is>
          <t>⚠</t>
        </is>
      </c>
      <c r="J7" s="90" t="inlineStr">
        <is>
          <t>MRP filled; cost ⚠</t>
        </is>
      </c>
    </row>
    <row r="8" ht="13.5" customHeight="1" s="66">
      <c r="A8" s="86" t="n">
        <v>4</v>
      </c>
      <c r="B8" s="87" t="inlineStr">
        <is>
          <t>Inj. Pilzo 4.5</t>
        </is>
      </c>
      <c r="C8" s="87" t="inlineStr">
        <is>
          <t>Piperacillin-Taz</t>
        </is>
      </c>
      <c r="D8" s="86" t="inlineStr">
        <is>
          <t>No.</t>
        </is>
      </c>
      <c r="E8" s="86" t="n">
        <v>1</v>
      </c>
      <c r="F8" s="88" t="n">
        <v>326.22</v>
      </c>
      <c r="G8" s="88" t="n">
        <v>326.22</v>
      </c>
      <c r="H8" s="88" t="n">
        <v>95.23999999999999</v>
      </c>
      <c r="I8" s="88" t="n">
        <v>95.23999999999999</v>
      </c>
      <c r="J8" s="87" t="inlineStr">
        <is>
          <t>SSB S000069</t>
        </is>
      </c>
    </row>
    <row r="9" ht="13.5" customHeight="1" s="66">
      <c r="A9" s="83" t="n">
        <v>5</v>
      </c>
      <c r="B9" s="84" t="inlineStr">
        <is>
          <t>Inj. Rantac</t>
        </is>
      </c>
      <c r="C9" s="84" t="inlineStr">
        <is>
          <t>Ranitidine</t>
        </is>
      </c>
      <c r="D9" s="83" t="inlineStr">
        <is>
          <t>No.</t>
        </is>
      </c>
      <c r="E9" s="83" t="n">
        <v>1</v>
      </c>
      <c r="F9" s="85" t="n">
        <v>7.48</v>
      </c>
      <c r="G9" s="85" t="n">
        <v>7.48</v>
      </c>
      <c r="H9" s="85" t="n">
        <v>4.29</v>
      </c>
      <c r="I9" s="85" t="n">
        <v>4.29</v>
      </c>
      <c r="J9" s="84" t="inlineStr">
        <is>
          <t>SSB S000068</t>
        </is>
      </c>
    </row>
    <row r="10" ht="13.5" customHeight="1" s="66">
      <c r="A10" s="86" t="n">
        <v>6</v>
      </c>
      <c r="B10" s="87" t="inlineStr">
        <is>
          <t>Inj. Ondem</t>
        </is>
      </c>
      <c r="C10" s="87" t="inlineStr">
        <is>
          <t>Ondansetron</t>
        </is>
      </c>
      <c r="D10" s="86" t="inlineStr">
        <is>
          <t>No.</t>
        </is>
      </c>
      <c r="E10" s="86" t="n">
        <v>1</v>
      </c>
      <c r="F10" s="88" t="n">
        <v>12.72</v>
      </c>
      <c r="G10" s="88" t="n">
        <v>12.72</v>
      </c>
      <c r="H10" s="88" t="n">
        <v>4.85</v>
      </c>
      <c r="I10" s="88" t="n">
        <v>4.85</v>
      </c>
      <c r="J10" s="87" t="inlineStr">
        <is>
          <t>SSB S000068</t>
        </is>
      </c>
    </row>
    <row r="11" ht="13.5" customHeight="1" s="66">
      <c r="A11" s="83" t="n">
        <v>7</v>
      </c>
      <c r="B11" s="84" t="inlineStr">
        <is>
          <t>IV Set</t>
        </is>
      </c>
      <c r="C11" s="84" t="n"/>
      <c r="D11" s="83" t="inlineStr">
        <is>
          <t>No.</t>
        </is>
      </c>
      <c r="E11" s="83" t="n">
        <v>1</v>
      </c>
      <c r="F11" s="85" t="n">
        <v>201</v>
      </c>
      <c r="G11" s="85" t="n">
        <v>201</v>
      </c>
      <c r="H11" s="85" t="n">
        <v>10.48</v>
      </c>
      <c r="I11" s="85" t="n">
        <v>10.48</v>
      </c>
      <c r="J11" s="84" t="inlineStr">
        <is>
          <t>SSB S000069</t>
        </is>
      </c>
    </row>
    <row r="12" ht="13.5" customHeight="1" s="66">
      <c r="A12" s="86" t="n">
        <v>8</v>
      </c>
      <c r="B12" s="87" t="inlineStr">
        <is>
          <t>Venflon 20</t>
        </is>
      </c>
      <c r="C12" s="87" t="inlineStr">
        <is>
          <t>IV Cannula 20G</t>
        </is>
      </c>
      <c r="D12" s="86" t="inlineStr">
        <is>
          <t>No.</t>
        </is>
      </c>
      <c r="E12" s="86" t="n">
        <v>1</v>
      </c>
      <c r="F12" s="88" t="n">
        <v>202.55</v>
      </c>
      <c r="G12" s="88" t="n">
        <v>202.55</v>
      </c>
      <c r="H12" s="88" t="n">
        <v>7.14</v>
      </c>
      <c r="I12" s="88" t="n">
        <v>7.14</v>
      </c>
      <c r="J12" s="87" t="inlineStr">
        <is>
          <t>SSB S000069</t>
        </is>
      </c>
    </row>
    <row r="13" ht="13.5" customHeight="1" s="66">
      <c r="A13" s="83" t="n">
        <v>9</v>
      </c>
      <c r="B13" s="84" t="inlineStr">
        <is>
          <t>Easyfix</t>
        </is>
      </c>
      <c r="C13" s="84" t="inlineStr">
        <is>
          <t>Adhesive dressing</t>
        </is>
      </c>
      <c r="D13" s="83" t="inlineStr">
        <is>
          <t>No.</t>
        </is>
      </c>
      <c r="E13" s="83" t="n">
        <v>1</v>
      </c>
      <c r="F13" s="85" t="n">
        <v>900</v>
      </c>
      <c r="G13" s="85" t="n">
        <v>900</v>
      </c>
      <c r="H13" s="85" t="n">
        <v>300</v>
      </c>
      <c r="I13" s="85" t="n">
        <v>300</v>
      </c>
      <c r="J13" s="84" t="inlineStr">
        <is>
          <t>CLD 3x proxy</t>
        </is>
      </c>
    </row>
    <row r="14" ht="13.5" customHeight="1" s="66">
      <c r="A14" s="86" t="n">
        <v>10</v>
      </c>
      <c r="B14" s="87" t="inlineStr">
        <is>
          <t>Normal Saline 500ml</t>
        </is>
      </c>
      <c r="C14" s="87" t="inlineStr">
        <is>
          <t>IV Fluid</t>
        </is>
      </c>
      <c r="D14" s="86" t="inlineStr">
        <is>
          <t>No.</t>
        </is>
      </c>
      <c r="E14" s="86" t="n">
        <v>1</v>
      </c>
      <c r="F14" s="88" t="n">
        <v>39.05</v>
      </c>
      <c r="G14" s="88" t="n">
        <v>39.05</v>
      </c>
      <c r="H14" s="88" t="n">
        <v>16.67</v>
      </c>
      <c r="I14" s="88" t="n">
        <v>16.67</v>
      </c>
      <c r="J14" s="87" t="inlineStr">
        <is>
          <t>SSB S000068</t>
        </is>
      </c>
    </row>
    <row r="15" ht="13.5" customHeight="1" s="66">
      <c r="A15" s="117" t="n">
        <v>11</v>
      </c>
      <c r="B15" s="118" t="inlineStr">
        <is>
          <t>Betadine Ointment</t>
        </is>
      </c>
      <c r="C15" s="118" t="inlineStr">
        <is>
          <t>Povidone-Iodine oint</t>
        </is>
      </c>
      <c r="D15" s="117" t="inlineStr">
        <is>
          <t>No.</t>
        </is>
      </c>
      <c r="E15" s="117" t="n">
        <v>1</v>
      </c>
      <c r="F15" s="119" t="n">
        <v>236.25</v>
      </c>
      <c r="G15" s="119" t="n">
        <v>236.25</v>
      </c>
      <c r="H15" s="119" t="n">
        <v>200</v>
      </c>
      <c r="I15" s="119" t="n">
        <v>200</v>
      </c>
      <c r="J15" s="118" t="inlineStr">
        <is>
          <t>⚠ Est. — SSB proxy | Cost = 30% below MRP</t>
        </is>
      </c>
    </row>
    <row r="16" ht="13.5" customHeight="1" s="66">
      <c r="A16" s="86" t="n">
        <v>12</v>
      </c>
      <c r="B16" s="87" t="inlineStr">
        <is>
          <t>Betadine Lotion 100ml</t>
        </is>
      </c>
      <c r="C16" s="87" t="inlineStr">
        <is>
          <t>Povidone-Iodine</t>
        </is>
      </c>
      <c r="D16" s="86" t="inlineStr">
        <is>
          <t>No.</t>
        </is>
      </c>
      <c r="E16" s="86" t="n">
        <v>1</v>
      </c>
      <c r="F16" s="88" t="n">
        <v>236.25</v>
      </c>
      <c r="G16" s="88" t="n">
        <v>236.25</v>
      </c>
      <c r="H16" s="88" t="n">
        <v>200</v>
      </c>
      <c r="I16" s="88" t="n">
        <v>200</v>
      </c>
      <c r="J16" s="87" t="inlineStr">
        <is>
          <t>SSB S000069</t>
        </is>
      </c>
    </row>
    <row r="17" ht="13.5" customHeight="1" s="66">
      <c r="A17" s="83" t="n">
        <v>13</v>
      </c>
      <c r="B17" s="84" t="inlineStr">
        <is>
          <t>5cc Dispoven</t>
        </is>
      </c>
      <c r="C17" s="84" t="inlineStr">
        <is>
          <t>Syringe 5ml</t>
        </is>
      </c>
      <c r="D17" s="83" t="inlineStr">
        <is>
          <t>No.</t>
        </is>
      </c>
      <c r="E17" s="83" t="n">
        <v>2</v>
      </c>
      <c r="F17" s="85" t="n">
        <v>10.23</v>
      </c>
      <c r="G17" s="85" t="n">
        <v>20.46</v>
      </c>
      <c r="H17" s="85" t="n">
        <v>2.38</v>
      </c>
      <c r="I17" s="85" t="n">
        <v>4.76</v>
      </c>
      <c r="J17" s="84" t="inlineStr">
        <is>
          <t>SSB S000069</t>
        </is>
      </c>
    </row>
    <row r="18" ht="13.5" customHeight="1" s="66">
      <c r="A18" s="86" t="n">
        <v>14</v>
      </c>
      <c r="B18" s="87" t="inlineStr">
        <is>
          <t>10cc Dispoven</t>
        </is>
      </c>
      <c r="C18" s="87" t="inlineStr">
        <is>
          <t>Syringe 10ml</t>
        </is>
      </c>
      <c r="D18" s="86" t="inlineStr">
        <is>
          <t>No.</t>
        </is>
      </c>
      <c r="E18" s="86" t="n">
        <v>2</v>
      </c>
      <c r="F18" s="88" t="n">
        <v>20</v>
      </c>
      <c r="G18" s="88" t="n">
        <v>40</v>
      </c>
      <c r="H18" s="88" t="n">
        <v>3.76</v>
      </c>
      <c r="I18" s="88" t="n">
        <v>7.52</v>
      </c>
      <c r="J18" s="87" t="inlineStr">
        <is>
          <t>SSB S000069</t>
        </is>
      </c>
    </row>
    <row r="19" ht="13.5" customHeight="1" s="66">
      <c r="A19" s="83" t="n">
        <v>15</v>
      </c>
      <c r="B19" s="84" t="inlineStr">
        <is>
          <t>2cc Dispoven</t>
        </is>
      </c>
      <c r="C19" s="84" t="inlineStr">
        <is>
          <t>Syringe 2ml</t>
        </is>
      </c>
      <c r="D19" s="83" t="inlineStr">
        <is>
          <t>No.</t>
        </is>
      </c>
      <c r="E19" s="83" t="n">
        <v>2</v>
      </c>
      <c r="F19" s="85" t="n">
        <v>6.04</v>
      </c>
      <c r="G19" s="85" t="n">
        <v>12.08</v>
      </c>
      <c r="H19" s="85" t="n">
        <v>1.9</v>
      </c>
      <c r="I19" s="85" t="n">
        <v>3.8</v>
      </c>
      <c r="J19" s="84" t="inlineStr">
        <is>
          <t>SSB S000069</t>
        </is>
      </c>
    </row>
    <row r="20" ht="13.5" customHeight="1" s="66">
      <c r="A20" s="86" t="n">
        <v>16</v>
      </c>
      <c r="B20" s="87" t="inlineStr">
        <is>
          <t>Gauze</t>
        </is>
      </c>
      <c r="C20" s="87" t="inlineStr">
        <is>
          <t>Sterile</t>
        </is>
      </c>
      <c r="D20" s="86" t="inlineStr">
        <is>
          <t>No.</t>
        </is>
      </c>
      <c r="E20" s="86" t="n">
        <v>12</v>
      </c>
      <c r="F20" s="88" t="n">
        <v>14</v>
      </c>
      <c r="G20" s="88" t="n">
        <v>168</v>
      </c>
      <c r="H20" s="88" t="n">
        <v>5.46</v>
      </c>
      <c r="I20" s="88" t="n">
        <v>65.52</v>
      </c>
      <c r="J20" s="87" t="inlineStr">
        <is>
          <t>Vivek F-747</t>
        </is>
      </c>
    </row>
    <row r="21" ht="13.5" customHeight="1" s="66">
      <c r="A21" s="89" t="n">
        <v>17</v>
      </c>
      <c r="B21" s="90" t="inlineStr">
        <is>
          <t>Surgical Blade 24 No.</t>
        </is>
      </c>
      <c r="C21" s="90" t="inlineStr">
        <is>
          <t>Surgical blade</t>
        </is>
      </c>
      <c r="D21" s="89" t="inlineStr">
        <is>
          <t>No.</t>
        </is>
      </c>
      <c r="E21" s="89" t="n">
        <v>1</v>
      </c>
      <c r="F21" s="91" t="n">
        <v>750</v>
      </c>
      <c r="G21" s="91" t="n">
        <v>750</v>
      </c>
      <c r="H21" s="91" t="inlineStr">
        <is>
          <t>⚠</t>
        </is>
      </c>
      <c r="I21" s="91" t="inlineStr">
        <is>
          <t>⚠</t>
        </is>
      </c>
      <c r="J21" s="90" t="inlineStr">
        <is>
          <t>MRP filled; cost ⚠</t>
        </is>
      </c>
    </row>
    <row r="22" ht="13.5" customHeight="1" s="66">
      <c r="A22" s="86" t="n">
        <v>18</v>
      </c>
      <c r="B22" s="87" t="inlineStr">
        <is>
          <t>Surgical Gloves No. 7</t>
        </is>
      </c>
      <c r="C22" s="87" t="inlineStr">
        <is>
          <t>Sterile gloves</t>
        </is>
      </c>
      <c r="D22" s="86" t="inlineStr">
        <is>
          <t>No.</t>
        </is>
      </c>
      <c r="E22" s="86" t="n">
        <v>6</v>
      </c>
      <c r="F22" s="88" t="n">
        <v>91</v>
      </c>
      <c r="G22" s="88" t="n">
        <v>546</v>
      </c>
      <c r="H22" s="88" t="n">
        <v>19.06</v>
      </c>
      <c r="I22" s="88" t="n">
        <v>114.36</v>
      </c>
      <c r="J22" s="87" t="inlineStr">
        <is>
          <t>Vivek F-747</t>
        </is>
      </c>
    </row>
    <row r="23" ht="13.5" customHeight="1" s="66">
      <c r="A23" s="83" t="n">
        <v>19</v>
      </c>
      <c r="B23" s="84" t="inlineStr">
        <is>
          <t>Suture SN9336TFP (2-0)</t>
        </is>
      </c>
      <c r="C23" s="84" t="inlineStr">
        <is>
          <t>Non-absorbable suture</t>
        </is>
      </c>
      <c r="D23" s="83" t="inlineStr">
        <is>
          <t>No.</t>
        </is>
      </c>
      <c r="E23" s="83" t="n">
        <v>1</v>
      </c>
      <c r="F23" s="85" t="n">
        <v>277</v>
      </c>
      <c r="G23" s="85" t="n">
        <v>277</v>
      </c>
      <c r="H23" s="85" t="n">
        <v>49.52</v>
      </c>
      <c r="I23" s="85" t="n">
        <v>49.52</v>
      </c>
      <c r="J23" s="84" t="inlineStr">
        <is>
          <t>SSB S000135</t>
        </is>
      </c>
    </row>
    <row r="24" ht="13.5" customHeight="1" s="66">
      <c r="A24" s="89" t="n">
        <v>20</v>
      </c>
      <c r="B24" s="90" t="inlineStr">
        <is>
          <t>Inj. Xone</t>
        </is>
      </c>
      <c r="C24" s="90" t="inlineStr">
        <is>
          <t>Ceftriaxone 1g</t>
        </is>
      </c>
      <c r="D24" s="89" t="inlineStr">
        <is>
          <t>No.</t>
        </is>
      </c>
      <c r="E24" s="89" t="n">
        <v>3</v>
      </c>
      <c r="F24" s="91" t="n">
        <v>66.64</v>
      </c>
      <c r="G24" s="91" t="n">
        <v>199.92</v>
      </c>
      <c r="H24" s="91" t="n">
        <v>25.71</v>
      </c>
      <c r="I24" s="91" t="n">
        <v>77.13</v>
      </c>
      <c r="J24" s="90" t="inlineStr">
        <is>
          <t>Filled from stock/rate card</t>
        </is>
      </c>
    </row>
    <row r="25" ht="13.5" customHeight="1" s="66">
      <c r="A25" s="89" t="n">
        <v>21</v>
      </c>
      <c r="B25" s="90" t="inlineStr">
        <is>
          <t>Inj. Pan</t>
        </is>
      </c>
      <c r="C25" s="90" t="inlineStr">
        <is>
          <t>Pantoprazole</t>
        </is>
      </c>
      <c r="D25" s="89" t="inlineStr">
        <is>
          <t>No.</t>
        </is>
      </c>
      <c r="E25" s="89" t="n">
        <v>2</v>
      </c>
      <c r="F25" s="91" t="n">
        <v>53.9</v>
      </c>
      <c r="G25" s="91" t="n">
        <v>107.8</v>
      </c>
      <c r="H25" s="91" t="n">
        <v>41.07</v>
      </c>
      <c r="I25" s="91" t="n">
        <v>82.14</v>
      </c>
      <c r="J25" s="90" t="inlineStr">
        <is>
          <t>Filled from stock/rate card</t>
        </is>
      </c>
    </row>
    <row r="26" ht="13.5" customHeight="1" s="66">
      <c r="A26" s="86" t="n">
        <v>22</v>
      </c>
      <c r="B26" s="87" t="inlineStr">
        <is>
          <t>Inj. Zofer IV</t>
        </is>
      </c>
      <c r="C26" s="87" t="inlineStr">
        <is>
          <t>Ondansetron</t>
        </is>
      </c>
      <c r="D26" s="86" t="inlineStr">
        <is>
          <t>No.</t>
        </is>
      </c>
      <c r="E26" s="86" t="n">
        <v>3</v>
      </c>
      <c r="F26" s="88" t="n">
        <v>12.72</v>
      </c>
      <c r="G26" s="88" t="n">
        <v>38.16</v>
      </c>
      <c r="H26" s="88" t="n">
        <v>4.85</v>
      </c>
      <c r="I26" s="88" t="n">
        <v>14.55</v>
      </c>
      <c r="J26" s="87" t="inlineStr">
        <is>
          <t>SSB S000068</t>
        </is>
      </c>
    </row>
    <row r="27" ht="13.5" customHeight="1" s="66">
      <c r="A27" s="117" t="n">
        <v>23</v>
      </c>
      <c r="B27" s="118" t="inlineStr">
        <is>
          <t>Inj. Dynapar IV</t>
        </is>
      </c>
      <c r="C27" s="118" t="inlineStr">
        <is>
          <t>Diclofenac IV</t>
        </is>
      </c>
      <c r="D27" s="117" t="inlineStr">
        <is>
          <t>No.</t>
        </is>
      </c>
      <c r="E27" s="117" t="n">
        <v>2</v>
      </c>
      <c r="F27" s="119" t="n">
        <v>23.8</v>
      </c>
      <c r="G27" s="119" t="n">
        <v>47.6</v>
      </c>
      <c r="H27" s="119" t="n">
        <v>8.57</v>
      </c>
      <c r="I27" s="119" t="n">
        <v>17.14</v>
      </c>
      <c r="J27" s="118" t="inlineStr">
        <is>
          <t>⚠ Est. — Justin AQ proxy | Cost = 30% below MRP</t>
        </is>
      </c>
    </row>
    <row r="28" ht="13.5" customHeight="1" s="66">
      <c r="A28" s="86" t="n">
        <v>24</v>
      </c>
      <c r="B28" s="87" t="inlineStr">
        <is>
          <t>NS 500ml</t>
        </is>
      </c>
      <c r="C28" s="87" t="inlineStr">
        <is>
          <t>Normal Saline</t>
        </is>
      </c>
      <c r="D28" s="86" t="inlineStr">
        <is>
          <t>No.</t>
        </is>
      </c>
      <c r="E28" s="86" t="n">
        <v>1</v>
      </c>
      <c r="F28" s="88" t="n">
        <v>39.05</v>
      </c>
      <c r="G28" s="88" t="n">
        <v>39.05</v>
      </c>
      <c r="H28" s="88" t="n">
        <v>16.67</v>
      </c>
      <c r="I28" s="88" t="n">
        <v>16.67</v>
      </c>
      <c r="J28" s="87" t="inlineStr">
        <is>
          <t>SSB S000068</t>
        </is>
      </c>
    </row>
    <row r="29" ht="13.5" customHeight="1" s="66">
      <c r="A29" s="83" t="n">
        <v>25</v>
      </c>
      <c r="B29" s="84" t="inlineStr">
        <is>
          <t>RL 500ml</t>
        </is>
      </c>
      <c r="C29" s="84" t="inlineStr">
        <is>
          <t>Ringer's Lactate</t>
        </is>
      </c>
      <c r="D29" s="83" t="inlineStr">
        <is>
          <t>No.</t>
        </is>
      </c>
      <c r="E29" s="83" t="n">
        <v>1</v>
      </c>
      <c r="F29" s="85" t="n">
        <v>63.3</v>
      </c>
      <c r="G29" s="85" t="n">
        <v>63.3</v>
      </c>
      <c r="H29" s="85" t="n">
        <v>17.62</v>
      </c>
      <c r="I29" s="85" t="n">
        <v>17.62</v>
      </c>
      <c r="J29" s="84" t="inlineStr">
        <is>
          <t>SSB S000068</t>
        </is>
      </c>
    </row>
    <row r="30" ht="13.5" customHeight="1" s="66">
      <c r="A30" s="86" t="n">
        <v>26</v>
      </c>
      <c r="B30" s="87" t="inlineStr">
        <is>
          <t>Foley Flex</t>
        </is>
      </c>
      <c r="C30" s="87" t="inlineStr">
        <is>
          <t>Foley Catheter</t>
        </is>
      </c>
      <c r="D30" s="86" t="inlineStr">
        <is>
          <t>No.</t>
        </is>
      </c>
      <c r="E30" s="86" t="n">
        <v>1</v>
      </c>
      <c r="F30" s="88" t="n">
        <v>174</v>
      </c>
      <c r="G30" s="88" t="n">
        <v>174</v>
      </c>
      <c r="H30" s="88" t="n">
        <v>120.95</v>
      </c>
      <c r="I30" s="88" t="n">
        <v>120.95</v>
      </c>
      <c r="J30" s="87" t="inlineStr">
        <is>
          <t>Vivek F-684</t>
        </is>
      </c>
    </row>
    <row r="31" ht="13.5" customHeight="1" s="66">
      <c r="A31" s="83" t="n">
        <v>27</v>
      </c>
      <c r="B31" s="84" t="inlineStr">
        <is>
          <t>IV Cannula 18G</t>
        </is>
      </c>
      <c r="C31" s="84" t="n"/>
      <c r="D31" s="83" t="inlineStr">
        <is>
          <t>No.</t>
        </is>
      </c>
      <c r="E31" s="83" t="n">
        <v>1</v>
      </c>
      <c r="F31" s="85" t="n">
        <v>321</v>
      </c>
      <c r="G31" s="85" t="n">
        <v>321</v>
      </c>
      <c r="H31" s="85" t="n">
        <v>55</v>
      </c>
      <c r="I31" s="85" t="n">
        <v>55</v>
      </c>
      <c r="J31" s="84" t="inlineStr">
        <is>
          <t>Vivek F-684</t>
        </is>
      </c>
    </row>
    <row r="32" ht="13.5" customHeight="1" s="66">
      <c r="A32" s="86" t="n">
        <v>28</v>
      </c>
      <c r="B32" s="87" t="inlineStr">
        <is>
          <t>IV Set</t>
        </is>
      </c>
      <c r="C32" s="87" t="n"/>
      <c r="D32" s="86" t="inlineStr">
        <is>
          <t>No.</t>
        </is>
      </c>
      <c r="E32" s="86" t="n">
        <v>1</v>
      </c>
      <c r="F32" s="88" t="n">
        <v>201</v>
      </c>
      <c r="G32" s="88" t="n">
        <v>201</v>
      </c>
      <c r="H32" s="88" t="n">
        <v>10.48</v>
      </c>
      <c r="I32" s="88" t="n">
        <v>10.48</v>
      </c>
      <c r="J32" s="87" t="inlineStr">
        <is>
          <t>SSB S000069</t>
        </is>
      </c>
    </row>
    <row r="33" ht="13.5" customHeight="1" s="66">
      <c r="A33" s="89" t="n">
        <v>29</v>
      </c>
      <c r="B33" s="90" t="inlineStr">
        <is>
          <t>100ml NS</t>
        </is>
      </c>
      <c r="C33" s="90" t="inlineStr">
        <is>
          <t>Normal Saline 100ml</t>
        </is>
      </c>
      <c r="D33" s="89" t="inlineStr">
        <is>
          <t>No.</t>
        </is>
      </c>
      <c r="E33" s="89" t="n">
        <v>2</v>
      </c>
      <c r="F33" s="91" t="n">
        <v>21.02</v>
      </c>
      <c r="G33" s="91" t="n">
        <v>42.04</v>
      </c>
      <c r="H33" s="91" t="n">
        <v>11.1</v>
      </c>
      <c r="I33" s="91" t="n">
        <v>22.2</v>
      </c>
      <c r="J33" s="90" t="inlineStr">
        <is>
          <t>Filled from stock/rate card</t>
        </is>
      </c>
    </row>
    <row r="34" ht="13.5" customHeight="1" s="66">
      <c r="A34" s="86" t="n">
        <v>30</v>
      </c>
      <c r="B34" s="87" t="inlineStr">
        <is>
          <t>5cc Dispoven</t>
        </is>
      </c>
      <c r="C34" s="87" t="inlineStr">
        <is>
          <t>Syringe 5ml</t>
        </is>
      </c>
      <c r="D34" s="86" t="inlineStr">
        <is>
          <t>No.</t>
        </is>
      </c>
      <c r="E34" s="86" t="n">
        <v>2</v>
      </c>
      <c r="F34" s="88" t="n">
        <v>10.23</v>
      </c>
      <c r="G34" s="88" t="n">
        <v>20.46</v>
      </c>
      <c r="H34" s="88" t="n">
        <v>2.38</v>
      </c>
      <c r="I34" s="88" t="n">
        <v>4.76</v>
      </c>
      <c r="J34" s="87" t="inlineStr">
        <is>
          <t>SSB S000069</t>
        </is>
      </c>
    </row>
    <row r="35" ht="13.5" customHeight="1" s="66">
      <c r="A35" s="83" t="n">
        <v>31</v>
      </c>
      <c r="B35" s="84" t="inlineStr">
        <is>
          <t>10cc Dispoven</t>
        </is>
      </c>
      <c r="C35" s="84" t="inlineStr">
        <is>
          <t>Syringe 10ml</t>
        </is>
      </c>
      <c r="D35" s="83" t="inlineStr">
        <is>
          <t>No.</t>
        </is>
      </c>
      <c r="E35" s="83" t="n">
        <v>2</v>
      </c>
      <c r="F35" s="85" t="n">
        <v>20</v>
      </c>
      <c r="G35" s="85" t="n">
        <v>40</v>
      </c>
      <c r="H35" s="85" t="n">
        <v>3.76</v>
      </c>
      <c r="I35" s="85" t="n">
        <v>7.52</v>
      </c>
      <c r="J35" s="84" t="inlineStr">
        <is>
          <t>SSB S000069</t>
        </is>
      </c>
    </row>
    <row r="36" ht="13.5" customHeight="1" s="66">
      <c r="A36" s="86" t="n">
        <v>32</v>
      </c>
      <c r="B36" s="87" t="inlineStr">
        <is>
          <t>2cc Dispoven</t>
        </is>
      </c>
      <c r="C36" s="87" t="inlineStr">
        <is>
          <t>Syringe 2ml</t>
        </is>
      </c>
      <c r="D36" s="86" t="inlineStr">
        <is>
          <t>No.</t>
        </is>
      </c>
      <c r="E36" s="86" t="n">
        <v>1</v>
      </c>
      <c r="F36" s="88" t="n">
        <v>6.04</v>
      </c>
      <c r="G36" s="88" t="n">
        <v>6.04</v>
      </c>
      <c r="H36" s="88" t="n">
        <v>1.9</v>
      </c>
      <c r="I36" s="88" t="n">
        <v>1.9</v>
      </c>
      <c r="J36" s="87" t="inlineStr">
        <is>
          <t>SSB S000069</t>
        </is>
      </c>
    </row>
    <row r="37" ht="13.5" customHeight="1" s="66">
      <c r="A37" s="117" t="n">
        <v>33</v>
      </c>
      <c r="B37" s="118" t="inlineStr">
        <is>
          <t>Inj. Propofol 10ml</t>
        </is>
      </c>
      <c r="C37" s="118" t="inlineStr">
        <is>
          <t>Propofol</t>
        </is>
      </c>
      <c r="D37" s="117" t="inlineStr">
        <is>
          <t>No.</t>
        </is>
      </c>
      <c r="E37" s="117" t="n">
        <v>1</v>
      </c>
      <c r="F37" s="119" t="n">
        <v>72.2</v>
      </c>
      <c r="G37" s="119" t="n">
        <v>72.2</v>
      </c>
      <c r="H37" s="119" t="n">
        <v>50.54</v>
      </c>
      <c r="I37" s="119" t="n">
        <v>50.54</v>
      </c>
      <c r="J37" s="118" t="inlineStr">
        <is>
          <t>⚠ Est. — Market rate | Cost = 30% below MRP</t>
        </is>
      </c>
    </row>
    <row r="38" ht="13.5" customHeight="1" s="66">
      <c r="A38" s="86" t="n">
        <v>34</v>
      </c>
      <c r="B38" s="87" t="inlineStr">
        <is>
          <t>Inj. Ropin 20ml</t>
        </is>
      </c>
      <c r="C38" s="87" t="inlineStr">
        <is>
          <t>Ropivacaine</t>
        </is>
      </c>
      <c r="D38" s="86" t="inlineStr">
        <is>
          <t>No.</t>
        </is>
      </c>
      <c r="E38" s="86" t="n">
        <v>1</v>
      </c>
      <c r="F38" s="88" t="n">
        <v>132.15</v>
      </c>
      <c r="G38" s="88" t="n">
        <v>132.15</v>
      </c>
      <c r="H38" s="88" t="n">
        <v>97.14</v>
      </c>
      <c r="I38" s="88" t="n">
        <v>97.14</v>
      </c>
      <c r="J38" s="87" t="inlineStr">
        <is>
          <t>SSB S000068</t>
        </is>
      </c>
    </row>
    <row r="39" ht="13.5" customHeight="1" s="66">
      <c r="A39" s="117" t="n">
        <v>35</v>
      </c>
      <c r="B39" s="118" t="inlineStr">
        <is>
          <t>Inj. Tanmin</t>
        </is>
      </c>
      <c r="C39" s="118" t="inlineStr">
        <is>
          <t>Ketamine</t>
        </is>
      </c>
      <c r="D39" s="117" t="inlineStr">
        <is>
          <t>No.</t>
        </is>
      </c>
      <c r="E39" s="117" t="n">
        <v>1</v>
      </c>
      <c r="F39" s="119" t="n">
        <v>200</v>
      </c>
      <c r="G39" s="119" t="n">
        <v>200</v>
      </c>
      <c r="H39" s="119" t="n">
        <v>140</v>
      </c>
      <c r="I39" s="119" t="n">
        <v>140</v>
      </c>
      <c r="J39" s="118" t="inlineStr">
        <is>
          <t>⚠ Est. — Cash memo | Cost = 30% below MRP</t>
        </is>
      </c>
    </row>
    <row r="40" ht="13.5" customHeight="1" s="66">
      <c r="A40" s="86" t="n">
        <v>36</v>
      </c>
      <c r="B40" s="87" t="inlineStr">
        <is>
          <t>Inj. Midaz</t>
        </is>
      </c>
      <c r="C40" s="87" t="inlineStr">
        <is>
          <t>Midazolam</t>
        </is>
      </c>
      <c r="D40" s="86" t="inlineStr">
        <is>
          <t>No.</t>
        </is>
      </c>
      <c r="E40" s="86" t="n">
        <v>1</v>
      </c>
      <c r="F40" s="88" t="n">
        <v>31.03</v>
      </c>
      <c r="G40" s="88" t="n">
        <v>31.03</v>
      </c>
      <c r="H40" s="88" t="n">
        <v>23.81</v>
      </c>
      <c r="I40" s="88" t="n">
        <v>23.81</v>
      </c>
      <c r="J40" s="87" t="inlineStr">
        <is>
          <t>SSB S000092</t>
        </is>
      </c>
    </row>
    <row r="41" ht="13.5" customHeight="1" s="66">
      <c r="A41" s="83" t="n">
        <v>37</v>
      </c>
      <c r="B41" s="84" t="inlineStr">
        <is>
          <t>Surgical Gloves 7 No.</t>
        </is>
      </c>
      <c r="C41" s="84" t="inlineStr">
        <is>
          <t>Sterile gloves</t>
        </is>
      </c>
      <c r="D41" s="83" t="inlineStr">
        <is>
          <t>No.</t>
        </is>
      </c>
      <c r="E41" s="83" t="n">
        <v>7</v>
      </c>
      <c r="F41" s="85" t="n">
        <v>91</v>
      </c>
      <c r="G41" s="85" t="n">
        <v>637</v>
      </c>
      <c r="H41" s="85" t="n">
        <v>19.06</v>
      </c>
      <c r="I41" s="85" t="n">
        <v>133.42</v>
      </c>
      <c r="J41" s="84" t="inlineStr">
        <is>
          <t>Vivek F-747</t>
        </is>
      </c>
    </row>
    <row r="42" ht="13.5" customHeight="1" s="66">
      <c r="A42" s="89" t="n">
        <v>38</v>
      </c>
      <c r="B42" s="90" t="inlineStr">
        <is>
          <t>Cap + Mask</t>
        </is>
      </c>
      <c r="C42" s="90" t="inlineStr">
        <is>
          <t>Disposable</t>
        </is>
      </c>
      <c r="D42" s="89" t="inlineStr">
        <is>
          <t>No.</t>
        </is>
      </c>
      <c r="E42" s="89" t="n">
        <v>5</v>
      </c>
      <c r="F42" s="91" t="n">
        <v>25</v>
      </c>
      <c r="G42" s="91" t="n">
        <v>125</v>
      </c>
      <c r="H42" s="91" t="inlineStr">
        <is>
          <t>⚠</t>
        </is>
      </c>
      <c r="I42" s="91" t="inlineStr">
        <is>
          <t>⚠</t>
        </is>
      </c>
      <c r="J42" s="90" t="inlineStr">
        <is>
          <t>MRP filled; cost ⚠</t>
        </is>
      </c>
    </row>
    <row r="43" ht="13.5" customHeight="1" s="66">
      <c r="A43" s="83" t="n">
        <v>39</v>
      </c>
      <c r="B43" s="84" t="inlineStr">
        <is>
          <t>Gauze</t>
        </is>
      </c>
      <c r="C43" s="84" t="inlineStr">
        <is>
          <t>Sterile</t>
        </is>
      </c>
      <c r="D43" s="83" t="inlineStr">
        <is>
          <t>No.</t>
        </is>
      </c>
      <c r="E43" s="83" t="n">
        <v>1</v>
      </c>
      <c r="F43" s="85" t="n">
        <v>14</v>
      </c>
      <c r="G43" s="85" t="n">
        <v>14</v>
      </c>
      <c r="H43" s="85" t="n">
        <v>5.46</v>
      </c>
      <c r="I43" s="85" t="n">
        <v>5.46</v>
      </c>
      <c r="J43" s="84" t="inlineStr">
        <is>
          <t>Vivek F-747</t>
        </is>
      </c>
    </row>
    <row r="44" ht="13.5" customHeight="1" s="66">
      <c r="A44" s="86" t="n">
        <v>40</v>
      </c>
      <c r="B44" s="87" t="inlineStr">
        <is>
          <t>Roller Bandage 6"</t>
        </is>
      </c>
      <c r="C44" s="87" t="inlineStr">
        <is>
          <t>Crepe bandage</t>
        </is>
      </c>
      <c r="D44" s="86" t="inlineStr">
        <is>
          <t>No.</t>
        </is>
      </c>
      <c r="E44" s="86" t="n">
        <v>2</v>
      </c>
      <c r="F44" s="88" t="n">
        <v>67.5</v>
      </c>
      <c r="G44" s="88" t="n">
        <v>135</v>
      </c>
      <c r="H44" s="88" t="n">
        <v>19.05</v>
      </c>
      <c r="I44" s="88" t="n">
        <v>38.1</v>
      </c>
      <c r="J44" s="87" t="inlineStr">
        <is>
          <t>SSB S000069</t>
        </is>
      </c>
    </row>
    <row r="45" ht="13.5" customHeight="1" s="66">
      <c r="A45" s="83" t="n">
        <v>41</v>
      </c>
      <c r="B45" s="84" t="inlineStr">
        <is>
          <t>Betadine Lotion 100ml</t>
        </is>
      </c>
      <c r="C45" s="84" t="inlineStr">
        <is>
          <t>Povidone-Iodine</t>
        </is>
      </c>
      <c r="D45" s="83" t="inlineStr">
        <is>
          <t>No.</t>
        </is>
      </c>
      <c r="E45" s="83" t="n">
        <v>2</v>
      </c>
      <c r="F45" s="85" t="n">
        <v>236.25</v>
      </c>
      <c r="G45" s="85" t="n">
        <v>472.5</v>
      </c>
      <c r="H45" s="85" t="n">
        <v>200</v>
      </c>
      <c r="I45" s="85" t="n">
        <v>400</v>
      </c>
      <c r="J45" s="84" t="inlineStr">
        <is>
          <t>SSB S000069</t>
        </is>
      </c>
    </row>
    <row r="46" ht="15.75" customHeight="1" s="66">
      <c r="A46" s="96" t="inlineStr">
        <is>
          <t xml:space="preserve">  Subtotal — Consumables / Medicines</t>
        </is>
      </c>
      <c r="B46" s="97" t="n"/>
      <c r="C46" s="97" t="n"/>
      <c r="D46" s="97" t="n"/>
      <c r="E46" s="97" t="n"/>
      <c r="F46" s="97" t="n"/>
      <c r="G46" s="98" t="n">
        <v>6039.65</v>
      </c>
      <c r="H46" s="99" t="n"/>
      <c r="I46" s="98" t="n">
        <v>2363.35</v>
      </c>
      <c r="J46" s="99" t="n"/>
    </row>
    <row r="48" ht="15" customHeight="1" s="66">
      <c r="A48" s="100" t="inlineStr">
        <is>
          <t xml:space="preserve">  SECTION B — ROOM / BED CHARGES</t>
        </is>
      </c>
    </row>
    <row r="49" ht="13.5" customHeight="1" s="66">
      <c r="A49" s="101" t="n">
        <v>1</v>
      </c>
      <c r="B49" s="102" t="inlineStr">
        <is>
          <t>Bed / Room Charges</t>
        </is>
      </c>
      <c r="C49" s="102" t="inlineStr">
        <is>
          <t>General Ward — 1 Day</t>
        </is>
      </c>
      <c r="D49" s="101" t="inlineStr">
        <is>
          <t>Day</t>
        </is>
      </c>
      <c r="E49" s="101" t="n">
        <v>1</v>
      </c>
      <c r="F49" s="103" t="n">
        <v>1000</v>
      </c>
      <c r="G49" s="103" t="n">
        <v>1000</v>
      </c>
      <c r="H49" s="102" t="inlineStr">
        <is>
          <t>—</t>
        </is>
      </c>
      <c r="I49" s="102" t="inlineStr">
        <is>
          <t>—</t>
        </is>
      </c>
      <c r="J49" s="104" t="inlineStr">
        <is>
          <t>Fixed hospital rate</t>
        </is>
      </c>
    </row>
    <row r="51" ht="15" customHeight="1" s="66">
      <c r="A51" s="105" t="inlineStr">
        <is>
          <t xml:space="preserve">  SECTION C — OT / PROCEDURE CHARGES</t>
        </is>
      </c>
    </row>
    <row r="52" ht="13.5" customHeight="1" s="66">
      <c r="A52" s="106" t="n">
        <v>1</v>
      </c>
      <c r="B52" s="107" t="inlineStr">
        <is>
          <t>OT / Procedure Charges</t>
        </is>
      </c>
      <c r="C52" s="107" t="inlineStr">
        <is>
          <t>Per procedure</t>
        </is>
      </c>
      <c r="D52" s="106" t="inlineStr">
        <is>
          <t>—</t>
        </is>
      </c>
      <c r="E52" s="106" t="n">
        <v>1</v>
      </c>
      <c r="F52" s="108" t="n">
        <v>1500</v>
      </c>
      <c r="G52" s="108" t="n">
        <v>1500</v>
      </c>
      <c r="H52" s="107" t="inlineStr">
        <is>
          <t>—</t>
        </is>
      </c>
      <c r="I52" s="107" t="inlineStr">
        <is>
          <t>—</t>
        </is>
      </c>
      <c r="J52" s="109" t="inlineStr">
        <is>
          <t>Fixed hospital rate</t>
        </is>
      </c>
    </row>
    <row r="54" ht="21.75" customHeight="1" s="66">
      <c r="A54" s="110" t="inlineStr">
        <is>
          <t>GRAND TOTAL PATIENT BILL</t>
        </is>
      </c>
      <c r="B54" s="111" t="n"/>
      <c r="C54" s="111" t="n"/>
      <c r="D54" s="111" t="n"/>
      <c r="E54" s="111" t="n"/>
      <c r="F54" s="111" t="n"/>
      <c r="G54" s="112" t="n">
        <v>8539.65</v>
      </c>
      <c r="H54" s="113" t="inlineStr">
        <is>
          <t>Total Cost: ₹2,363.35  |  Margin: ₹6,176.30</t>
        </is>
      </c>
      <c r="I54" s="111" t="n"/>
      <c r="J54" s="114" t="n"/>
    </row>
    <row r="56" ht="18" customHeight="1" s="66">
      <c r="A56" s="115" t="inlineStr">
        <is>
          <t xml:space="preserve">  🟡 Amber rows = estimated MRP (market/proxy rate); cost shown as 30% below MRP.   🔴 Red rows = MRP not found; enter manually.   White/blue rows = actual invoice MRP.</t>
        </is>
      </c>
    </row>
    <row r="57" ht="18" customHeight="1" s="66">
      <c r="A57" s="116" t="inlineStr">
        <is>
          <t>⚠ 6 item(s) without MRP: Inj. Pan | Cap + Mask | Inj. Xone | 100ml NS | Surgical Blade 24 No. | Inj. Adrenaline</t>
        </is>
      </c>
    </row>
  </sheetData>
  <mergeCells count="12">
    <mergeCell ref="A54:F54"/>
    <mergeCell ref="A1:J1"/>
    <mergeCell ref="A46:F46"/>
    <mergeCell ref="E2:F2"/>
    <mergeCell ref="A56:J56"/>
    <mergeCell ref="I2:J2"/>
    <mergeCell ref="H54:I54"/>
    <mergeCell ref="A3:J3"/>
    <mergeCell ref="A48:J48"/>
    <mergeCell ref="A57:J57"/>
    <mergeCell ref="A2:D2"/>
    <mergeCell ref="A51:J5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92D050"/>
    <outlinePr summaryBelow="1" summaryRight="1"/>
    <pageSetUpPr fitToPage="0"/>
  </sheetPr>
  <dimension ref="A1:J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19" activePane="bottomLeft" state="frozen"/>
      <selection pane="topLeft" activeCell="A1" activeCellId="0" sqref="A1"/>
      <selection pane="bottomLeft" activeCell="A27" activeCellId="0" sqref="A27"/>
    </sheetView>
  </sheetViews>
  <sheetFormatPr baseColWidth="8" defaultColWidth="8.6328125" defaultRowHeight="14.25" zeroHeight="0" outlineLevelRow="0"/>
  <cols>
    <col width="5" customWidth="1" style="65" min="1" max="1"/>
    <col width="30" customWidth="1" style="65" min="2" max="2"/>
    <col width="20" customWidth="1" style="65" min="3" max="3"/>
    <col width="9" customWidth="1" style="65" min="4" max="4"/>
    <col width="6" customWidth="1" style="65" min="5" max="5"/>
    <col width="14" customWidth="1" style="65" min="6" max="6"/>
    <col width="15" customWidth="1" style="65" min="7" max="7"/>
    <col width="14" customWidth="1" style="65" min="8" max="8"/>
    <col width="15" customWidth="1" style="65" min="9" max="9"/>
    <col width="22" customWidth="1" style="65" min="10" max="10"/>
  </cols>
  <sheetData>
    <row r="1" ht="21.75" customHeight="1" s="66">
      <c r="A1" s="78" t="inlineStr">
        <is>
          <t>BK ADITYA MULTISPECIALTY HOSPITAL — PATIENT BILL</t>
        </is>
      </c>
    </row>
    <row r="2" ht="18" customHeight="1" s="66">
      <c r="A2" s="79" t="inlineStr">
        <is>
          <t>Patient: Siuli Biswas</t>
        </is>
      </c>
      <c r="E2" s="80" t="inlineStr">
        <is>
          <t>Doctor: Dr. A.M. Digga</t>
        </is>
      </c>
      <c r="G2" s="80" t="inlineStr">
        <is>
          <t>Date: 22/04/2026</t>
        </is>
      </c>
      <c r="H2" s="80" t="inlineStr">
        <is>
          <t>Indent: —</t>
        </is>
      </c>
      <c r="I2" s="80" t="inlineStr">
        <is>
          <t>Type: OT</t>
        </is>
      </c>
    </row>
    <row r="3" ht="15" customHeight="1" s="66">
      <c r="A3" s="81" t="inlineStr">
        <is>
          <t xml:space="preserve">  SECTION A — CONSUMABLES &amp; MEDICINES</t>
        </is>
      </c>
    </row>
    <row r="4" ht="30" customHeight="1" s="66">
      <c r="A4" s="82" t="inlineStr">
        <is>
          <t>Sl</t>
        </is>
      </c>
      <c r="B4" s="82" t="inlineStr">
        <is>
          <t>Item Name</t>
        </is>
      </c>
      <c r="C4" s="82" t="inlineStr">
        <is>
          <t>Specification</t>
        </is>
      </c>
      <c r="D4" s="82" t="inlineStr">
        <is>
          <t>Unit</t>
        </is>
      </c>
      <c r="E4" s="82" t="inlineStr">
        <is>
          <t>Qty</t>
        </is>
      </c>
      <c r="F4" s="82" t="inlineStr">
        <is>
          <t>MRP/Unit (₹)</t>
        </is>
      </c>
      <c r="G4" s="82" t="inlineStr">
        <is>
          <t>Charge @MRP (₹)</t>
        </is>
      </c>
      <c r="H4" s="82" t="inlineStr">
        <is>
          <t>Cost/Unit (₹)</t>
        </is>
      </c>
      <c r="I4" s="82" t="inlineStr">
        <is>
          <t>Cost Total (₹)</t>
        </is>
      </c>
      <c r="J4" s="82" t="inlineStr">
        <is>
          <t>Source / Remarks</t>
        </is>
      </c>
    </row>
    <row r="5" ht="13.5" customHeight="1" s="66">
      <c r="A5" s="83" t="n">
        <v>1</v>
      </c>
      <c r="B5" s="84" t="inlineStr">
        <is>
          <t>RL 500ml</t>
        </is>
      </c>
      <c r="C5" s="84" t="inlineStr">
        <is>
          <t>Ringer's Lactate</t>
        </is>
      </c>
      <c r="D5" s="83" t="inlineStr">
        <is>
          <t>No.</t>
        </is>
      </c>
      <c r="E5" s="83" t="n">
        <v>1</v>
      </c>
      <c r="F5" s="85" t="n">
        <v>63.3</v>
      </c>
      <c r="G5" s="85" t="n">
        <v>63.3</v>
      </c>
      <c r="H5" s="85" t="n">
        <v>17.62</v>
      </c>
      <c r="I5" s="85" t="n">
        <v>17.62</v>
      </c>
      <c r="J5" s="84" t="inlineStr">
        <is>
          <t>SSB S000068</t>
        </is>
      </c>
    </row>
    <row r="6" ht="13.5" customHeight="1" s="66">
      <c r="A6" s="86" t="n">
        <v>2</v>
      </c>
      <c r="B6" s="87" t="inlineStr">
        <is>
          <t>IV Set</t>
        </is>
      </c>
      <c r="C6" s="87" t="n"/>
      <c r="D6" s="86" t="inlineStr">
        <is>
          <t>No.</t>
        </is>
      </c>
      <c r="E6" s="86" t="n">
        <v>1</v>
      </c>
      <c r="F6" s="88" t="n">
        <v>201</v>
      </c>
      <c r="G6" s="88" t="n">
        <v>201</v>
      </c>
      <c r="H6" s="88" t="n">
        <v>10.48</v>
      </c>
      <c r="I6" s="88" t="n">
        <v>10.48</v>
      </c>
      <c r="J6" s="87" t="inlineStr">
        <is>
          <t>SSB S000069</t>
        </is>
      </c>
    </row>
    <row r="7" ht="13.5" customHeight="1" s="66">
      <c r="A7" s="83" t="n">
        <v>3</v>
      </c>
      <c r="B7" s="84" t="inlineStr">
        <is>
          <t>IV Cannula 20G</t>
        </is>
      </c>
      <c r="C7" s="84" t="n"/>
      <c r="D7" s="83" t="inlineStr">
        <is>
          <t>No.</t>
        </is>
      </c>
      <c r="E7" s="83" t="n">
        <v>1</v>
      </c>
      <c r="F7" s="85" t="n">
        <v>202.55</v>
      </c>
      <c r="G7" s="85" t="n">
        <v>202.55</v>
      </c>
      <c r="H7" s="85" t="n">
        <v>7.14</v>
      </c>
      <c r="I7" s="85" t="n">
        <v>7.14</v>
      </c>
      <c r="J7" s="84" t="inlineStr">
        <is>
          <t>SSB S000069</t>
        </is>
      </c>
    </row>
    <row r="8" ht="13.5" customHeight="1" s="66">
      <c r="A8" s="86" t="n">
        <v>4</v>
      </c>
      <c r="B8" s="87" t="inlineStr">
        <is>
          <t>Misoprostol Tab 200mcg</t>
        </is>
      </c>
      <c r="C8" s="87" t="inlineStr">
        <is>
          <t>Misoprostol</t>
        </is>
      </c>
      <c r="D8" s="86" t="inlineStr">
        <is>
          <t>No.</t>
        </is>
      </c>
      <c r="E8" s="86" t="n">
        <v>1</v>
      </c>
      <c r="F8" s="88" t="n">
        <v>79.5</v>
      </c>
      <c r="G8" s="88" t="n">
        <v>79.5</v>
      </c>
      <c r="H8" s="88" t="n">
        <v>59.53</v>
      </c>
      <c r="I8" s="88" t="n">
        <v>59.53</v>
      </c>
      <c r="J8" s="87" t="inlineStr">
        <is>
          <t>SSB S000197</t>
        </is>
      </c>
    </row>
    <row r="9" ht="13.5" customHeight="1" s="66">
      <c r="A9" s="89" t="n">
        <v>5</v>
      </c>
      <c r="B9" s="90" t="inlineStr">
        <is>
          <t>Inj. Xone (1g)</t>
        </is>
      </c>
      <c r="C9" s="90" t="inlineStr">
        <is>
          <t>Ceftriaxone</t>
        </is>
      </c>
      <c r="D9" s="89" t="inlineStr">
        <is>
          <t>No.</t>
        </is>
      </c>
      <c r="E9" s="89" t="n">
        <v>1</v>
      </c>
      <c r="F9" s="91" t="n">
        <v>66.64</v>
      </c>
      <c r="G9" s="91" t="n">
        <v>66.64</v>
      </c>
      <c r="H9" s="91" t="n">
        <v>25.71</v>
      </c>
      <c r="I9" s="91" t="n">
        <v>25.71</v>
      </c>
      <c r="J9" s="90" t="inlineStr">
        <is>
          <t>Filled from stock/rate card</t>
        </is>
      </c>
    </row>
    <row r="10" ht="13.5" customHeight="1" s="66">
      <c r="A10" s="86" t="n">
        <v>6</v>
      </c>
      <c r="B10" s="87" t="inlineStr">
        <is>
          <t>Inj. Ondem (2ml)</t>
        </is>
      </c>
      <c r="C10" s="87" t="inlineStr">
        <is>
          <t>Ondansetron</t>
        </is>
      </c>
      <c r="D10" s="86" t="inlineStr">
        <is>
          <t>No.</t>
        </is>
      </c>
      <c r="E10" s="86" t="n">
        <v>1</v>
      </c>
      <c r="F10" s="88" t="n">
        <v>12.72</v>
      </c>
      <c r="G10" s="88" t="n">
        <v>12.72</v>
      </c>
      <c r="H10" s="88" t="n">
        <v>4.85</v>
      </c>
      <c r="I10" s="88" t="n">
        <v>4.85</v>
      </c>
      <c r="J10" s="87" t="inlineStr">
        <is>
          <t>SSB S000068</t>
        </is>
      </c>
    </row>
    <row r="11" ht="13.5" customHeight="1" s="66">
      <c r="A11" s="83" t="n">
        <v>7</v>
      </c>
      <c r="B11" s="84" t="inlineStr">
        <is>
          <t>Inj. Rantac (2ml)</t>
        </is>
      </c>
      <c r="C11" s="84" t="inlineStr">
        <is>
          <t>Ranitidine</t>
        </is>
      </c>
      <c r="D11" s="83" t="inlineStr">
        <is>
          <t>No.</t>
        </is>
      </c>
      <c r="E11" s="83" t="n">
        <v>1</v>
      </c>
      <c r="F11" s="85" t="n">
        <v>7.48</v>
      </c>
      <c r="G11" s="85" t="n">
        <v>7.48</v>
      </c>
      <c r="H11" s="85" t="n">
        <v>4.29</v>
      </c>
      <c r="I11" s="85" t="n">
        <v>4.29</v>
      </c>
      <c r="J11" s="84" t="inlineStr">
        <is>
          <t>SSB S000068</t>
        </is>
      </c>
    </row>
    <row r="12" ht="13.5" customHeight="1" s="66">
      <c r="A12" s="120" t="n">
        <v>8</v>
      </c>
      <c r="B12" s="121" t="inlineStr">
        <is>
          <t>Inj. Propofol 10ml</t>
        </is>
      </c>
      <c r="C12" s="121" t="inlineStr">
        <is>
          <t>Propofol</t>
        </is>
      </c>
      <c r="D12" s="120" t="inlineStr">
        <is>
          <t>No.</t>
        </is>
      </c>
      <c r="E12" s="120" t="n">
        <v>2</v>
      </c>
      <c r="F12" s="122" t="n">
        <v>72.2</v>
      </c>
      <c r="G12" s="122" t="n">
        <v>144.4</v>
      </c>
      <c r="H12" s="122" t="n">
        <v>50.54</v>
      </c>
      <c r="I12" s="122" t="n">
        <v>101.08</v>
      </c>
      <c r="J12" s="121" t="inlineStr">
        <is>
          <t>⚠ Est. — Market rate | Cost = 30% below MRP</t>
        </is>
      </c>
    </row>
    <row r="13" ht="13.5" customHeight="1" s="66">
      <c r="A13" s="83" t="n">
        <v>9</v>
      </c>
      <c r="B13" s="84" t="inlineStr">
        <is>
          <t>Inj. Pyrolate</t>
        </is>
      </c>
      <c r="C13" s="84" t="inlineStr">
        <is>
          <t>Glycopyrrolate</t>
        </is>
      </c>
      <c r="D13" s="83" t="inlineStr">
        <is>
          <t>No.</t>
        </is>
      </c>
      <c r="E13" s="83" t="n">
        <v>1</v>
      </c>
      <c r="F13" s="85" t="n">
        <v>15.37</v>
      </c>
      <c r="G13" s="85" t="n">
        <v>15.37</v>
      </c>
      <c r="H13" s="85" t="n">
        <v>11.24</v>
      </c>
      <c r="I13" s="85" t="n">
        <v>11.24</v>
      </c>
      <c r="J13" s="84" t="inlineStr">
        <is>
          <t>SSB S000092</t>
        </is>
      </c>
    </row>
    <row r="14" ht="13.5" customHeight="1" s="66">
      <c r="A14" s="86" t="n">
        <v>10</v>
      </c>
      <c r="B14" s="87" t="inlineStr">
        <is>
          <t>Inj. Midaz</t>
        </is>
      </c>
      <c r="C14" s="87" t="inlineStr">
        <is>
          <t>Midazolam</t>
        </is>
      </c>
      <c r="D14" s="86" t="inlineStr">
        <is>
          <t>No.</t>
        </is>
      </c>
      <c r="E14" s="86" t="n">
        <v>1</v>
      </c>
      <c r="F14" s="88" t="n">
        <v>31.03</v>
      </c>
      <c r="G14" s="88" t="n">
        <v>31.03</v>
      </c>
      <c r="H14" s="88" t="n">
        <v>23.81</v>
      </c>
      <c r="I14" s="88" t="n">
        <v>23.81</v>
      </c>
      <c r="J14" s="87" t="inlineStr">
        <is>
          <t>SSB S000092</t>
        </is>
      </c>
    </row>
    <row r="15" ht="13.5" customHeight="1" s="66">
      <c r="A15" s="117" t="n">
        <v>11</v>
      </c>
      <c r="B15" s="118" t="inlineStr">
        <is>
          <t>Inj. Tanmin</t>
        </is>
      </c>
      <c r="C15" s="118" t="inlineStr">
        <is>
          <t>Ketamine</t>
        </is>
      </c>
      <c r="D15" s="117" t="inlineStr">
        <is>
          <t>No.</t>
        </is>
      </c>
      <c r="E15" s="117" t="n">
        <v>1</v>
      </c>
      <c r="F15" s="119" t="n">
        <v>200</v>
      </c>
      <c r="G15" s="119" t="n">
        <v>200</v>
      </c>
      <c r="H15" s="119" t="n">
        <v>140</v>
      </c>
      <c r="I15" s="119" t="n">
        <v>140</v>
      </c>
      <c r="J15" s="118" t="inlineStr">
        <is>
          <t>⚠ Est. — Cash memo | Cost = 30% below MRP</t>
        </is>
      </c>
    </row>
    <row r="16" ht="13.5" customHeight="1" s="66">
      <c r="A16" s="120" t="n">
        <v>12</v>
      </c>
      <c r="B16" s="121" t="inlineStr">
        <is>
          <t>Inj. Supnidol</t>
        </is>
      </c>
      <c r="C16" s="121" t="inlineStr">
        <is>
          <t>Buprenorphine</t>
        </is>
      </c>
      <c r="D16" s="120" t="inlineStr">
        <is>
          <t>No.</t>
        </is>
      </c>
      <c r="E16" s="120" t="n">
        <v>1</v>
      </c>
      <c r="F16" s="122" t="n">
        <v>52</v>
      </c>
      <c r="G16" s="122" t="n">
        <v>52</v>
      </c>
      <c r="H16" s="122" t="n">
        <v>36.4</v>
      </c>
      <c r="I16" s="122" t="n">
        <v>36.4</v>
      </c>
      <c r="J16" s="121" t="inlineStr">
        <is>
          <t>⚠ Est. — Internet est. | Cost = 30% below MRP</t>
        </is>
      </c>
    </row>
    <row r="17" ht="13.5" customHeight="1" s="66">
      <c r="A17" s="83" t="n">
        <v>13</v>
      </c>
      <c r="B17" s="84" t="inlineStr">
        <is>
          <t>Inj. Oxytocin</t>
        </is>
      </c>
      <c r="C17" s="84" t="n"/>
      <c r="D17" s="83" t="inlineStr">
        <is>
          <t>No.</t>
        </is>
      </c>
      <c r="E17" s="83" t="n">
        <v>1</v>
      </c>
      <c r="F17" s="85" t="n">
        <v>19.03</v>
      </c>
      <c r="G17" s="85" t="n">
        <v>19.03</v>
      </c>
      <c r="H17" s="85" t="n">
        <v>12.57</v>
      </c>
      <c r="I17" s="85" t="n">
        <v>12.57</v>
      </c>
      <c r="J17" s="84" t="inlineStr">
        <is>
          <t>SSB S000068</t>
        </is>
      </c>
    </row>
    <row r="18" ht="13.5" customHeight="1" s="66">
      <c r="A18" s="120" t="n">
        <v>14</v>
      </c>
      <c r="B18" s="121" t="inlineStr">
        <is>
          <t>Inj. Methanin (Methergin)</t>
        </is>
      </c>
      <c r="C18" s="121" t="inlineStr">
        <is>
          <t>Methylergometrine</t>
        </is>
      </c>
      <c r="D18" s="120" t="inlineStr">
        <is>
          <t>No.</t>
        </is>
      </c>
      <c r="E18" s="120" t="n">
        <v>1</v>
      </c>
      <c r="F18" s="122" t="n">
        <v>15</v>
      </c>
      <c r="G18" s="122" t="n">
        <v>15</v>
      </c>
      <c r="H18" s="122" t="n">
        <v>10.5</v>
      </c>
      <c r="I18" s="122" t="n">
        <v>10.5</v>
      </c>
      <c r="J18" s="121" t="inlineStr">
        <is>
          <t>⚠ Est. — Market rate | Cost = 30% below MRP</t>
        </is>
      </c>
    </row>
    <row r="19" ht="13.5" customHeight="1" s="66">
      <c r="A19" s="83" t="n">
        <v>15</v>
      </c>
      <c r="B19" s="84" t="inlineStr">
        <is>
          <t>Inj. Ondem</t>
        </is>
      </c>
      <c r="C19" s="84" t="inlineStr">
        <is>
          <t>Ondansetron</t>
        </is>
      </c>
      <c r="D19" s="83" t="inlineStr">
        <is>
          <t>No.</t>
        </is>
      </c>
      <c r="E19" s="83" t="n">
        <v>1</v>
      </c>
      <c r="F19" s="85" t="n">
        <v>12.72</v>
      </c>
      <c r="G19" s="85" t="n">
        <v>12.72</v>
      </c>
      <c r="H19" s="85" t="n">
        <v>4.85</v>
      </c>
      <c r="I19" s="85" t="n">
        <v>4.85</v>
      </c>
      <c r="J19" s="84" t="inlineStr">
        <is>
          <t>SSB S000068</t>
        </is>
      </c>
    </row>
    <row r="20" ht="13.5" customHeight="1" s="66">
      <c r="A20" s="86" t="n">
        <v>16</v>
      </c>
      <c r="B20" s="87" t="inlineStr">
        <is>
          <t>Kanamon Cannula 8No</t>
        </is>
      </c>
      <c r="C20" s="87" t="inlineStr">
        <is>
          <t>Specialty cannula</t>
        </is>
      </c>
      <c r="D20" s="86" t="inlineStr">
        <is>
          <t>No.</t>
        </is>
      </c>
      <c r="E20" s="86" t="n">
        <v>1</v>
      </c>
      <c r="F20" s="88" t="n">
        <v>120</v>
      </c>
      <c r="G20" s="88" t="n">
        <v>120</v>
      </c>
      <c r="H20" s="88" t="n">
        <v>40</v>
      </c>
      <c r="I20" s="88" t="n">
        <v>40</v>
      </c>
      <c r="J20" s="87" t="inlineStr">
        <is>
          <t>CLD 3x</t>
        </is>
      </c>
    </row>
    <row r="21" ht="13.5" customHeight="1" s="66">
      <c r="A21" s="83" t="n">
        <v>17</v>
      </c>
      <c r="B21" s="84" t="inlineStr">
        <is>
          <t>Kanamon Cannula 7No</t>
        </is>
      </c>
      <c r="C21" s="84" t="inlineStr">
        <is>
          <t>Specialty cannula</t>
        </is>
      </c>
      <c r="D21" s="83" t="inlineStr">
        <is>
          <t>No.</t>
        </is>
      </c>
      <c r="E21" s="83" t="n">
        <v>1</v>
      </c>
      <c r="F21" s="85" t="n">
        <v>120</v>
      </c>
      <c r="G21" s="85" t="n">
        <v>120</v>
      </c>
      <c r="H21" s="85" t="n">
        <v>40</v>
      </c>
      <c r="I21" s="85" t="n">
        <v>40</v>
      </c>
      <c r="J21" s="84" t="inlineStr">
        <is>
          <t>CLD 3x</t>
        </is>
      </c>
    </row>
    <row r="22" ht="13.5" customHeight="1" s="66">
      <c r="A22" s="86" t="n">
        <v>18</v>
      </c>
      <c r="B22" s="87" t="inlineStr">
        <is>
          <t>Kanamon Cannula 5No</t>
        </is>
      </c>
      <c r="C22" s="87" t="inlineStr">
        <is>
          <t>Specialty cannula</t>
        </is>
      </c>
      <c r="D22" s="86" t="inlineStr">
        <is>
          <t>No.</t>
        </is>
      </c>
      <c r="E22" s="86" t="n">
        <v>1</v>
      </c>
      <c r="F22" s="88" t="n">
        <v>120</v>
      </c>
      <c r="G22" s="88" t="n">
        <v>120</v>
      </c>
      <c r="H22" s="88" t="n">
        <v>40</v>
      </c>
      <c r="I22" s="88" t="n">
        <v>40</v>
      </c>
      <c r="J22" s="87" t="inlineStr">
        <is>
          <t>CLD 3x</t>
        </is>
      </c>
    </row>
    <row r="23" ht="13.5" customHeight="1" s="66">
      <c r="A23" s="117" t="n">
        <v>19</v>
      </c>
      <c r="B23" s="118" t="inlineStr">
        <is>
          <t>Molysheet</t>
        </is>
      </c>
      <c r="C23" s="118" t="inlineStr">
        <is>
          <t>Absorbent sheet</t>
        </is>
      </c>
      <c r="D23" s="117" t="inlineStr">
        <is>
          <t>No.</t>
        </is>
      </c>
      <c r="E23" s="117" t="n">
        <v>1</v>
      </c>
      <c r="F23" s="119" t="n">
        <v>150</v>
      </c>
      <c r="G23" s="119" t="n">
        <v>150</v>
      </c>
      <c r="H23" s="119" t="n">
        <v>105</v>
      </c>
      <c r="I23" s="119" t="n">
        <v>105</v>
      </c>
      <c r="J23" s="118" t="inlineStr">
        <is>
          <t>⚠ Est. — Stock reg est. | Cost = 30% below MRP</t>
        </is>
      </c>
    </row>
    <row r="24" ht="13.5" customHeight="1" s="66">
      <c r="A24" s="86" t="n">
        <v>20</v>
      </c>
      <c r="B24" s="87" t="inlineStr">
        <is>
          <t>Syringe 10cc</t>
        </is>
      </c>
      <c r="C24" s="87" t="n"/>
      <c r="D24" s="86" t="inlineStr">
        <is>
          <t>No.</t>
        </is>
      </c>
      <c r="E24" s="86" t="n">
        <v>3</v>
      </c>
      <c r="F24" s="88" t="n">
        <v>20</v>
      </c>
      <c r="G24" s="88" t="n">
        <v>60</v>
      </c>
      <c r="H24" s="88" t="n">
        <v>3.76</v>
      </c>
      <c r="I24" s="88" t="n">
        <v>11.28</v>
      </c>
      <c r="J24" s="87" t="inlineStr">
        <is>
          <t>SSB S000069</t>
        </is>
      </c>
    </row>
    <row r="25" ht="13.5" customHeight="1" s="66">
      <c r="A25" s="83" t="n">
        <v>21</v>
      </c>
      <c r="B25" s="84" t="inlineStr">
        <is>
          <t>Syringe 5cc</t>
        </is>
      </c>
      <c r="C25" s="84" t="n"/>
      <c r="D25" s="83" t="inlineStr">
        <is>
          <t>No.</t>
        </is>
      </c>
      <c r="E25" s="83" t="n">
        <v>3</v>
      </c>
      <c r="F25" s="85" t="n">
        <v>10.23</v>
      </c>
      <c r="G25" s="85" t="n">
        <v>30.69</v>
      </c>
      <c r="H25" s="85" t="n">
        <v>2.38</v>
      </c>
      <c r="I25" s="85" t="n">
        <v>7.14</v>
      </c>
      <c r="J25" s="84" t="inlineStr">
        <is>
          <t>SSB S000069</t>
        </is>
      </c>
    </row>
    <row r="26" ht="13.5" customHeight="1" s="66">
      <c r="A26" s="86" t="n">
        <v>22</v>
      </c>
      <c r="B26" s="87" t="inlineStr">
        <is>
          <t>Syringe 2cc</t>
        </is>
      </c>
      <c r="C26" s="87" t="n"/>
      <c r="D26" s="86" t="inlineStr">
        <is>
          <t>No.</t>
        </is>
      </c>
      <c r="E26" s="86" t="n">
        <v>3</v>
      </c>
      <c r="F26" s="88" t="n">
        <v>6.04</v>
      </c>
      <c r="G26" s="88" t="n">
        <v>18.12</v>
      </c>
      <c r="H26" s="88" t="n">
        <v>1.9</v>
      </c>
      <c r="I26" s="88" t="n">
        <v>5.7</v>
      </c>
      <c r="J26" s="87" t="inlineStr">
        <is>
          <t>SSB S000069</t>
        </is>
      </c>
    </row>
    <row r="27" ht="15.75" customHeight="1" s="66">
      <c r="A27" s="96" t="inlineStr">
        <is>
          <t xml:space="preserve">  Subtotal — Consumables / Medicines</t>
        </is>
      </c>
      <c r="B27" s="97" t="n"/>
      <c r="C27" s="97" t="n"/>
      <c r="D27" s="97" t="n"/>
      <c r="E27" s="97" t="n"/>
      <c r="F27" s="97" t="n"/>
      <c r="G27" s="98" t="n">
        <v>1674.91</v>
      </c>
      <c r="H27" s="99" t="n"/>
      <c r="I27" s="98" t="n">
        <v>693.48</v>
      </c>
      <c r="J27" s="99" t="n"/>
    </row>
    <row r="29" ht="15" customHeight="1" s="66">
      <c r="A29" s="100" t="inlineStr">
        <is>
          <t xml:space="preserve">  SECTION B — ROOM / BED CHARGES</t>
        </is>
      </c>
    </row>
    <row r="30" ht="13.5" customHeight="1" s="66">
      <c r="A30" s="101" t="n">
        <v>1</v>
      </c>
      <c r="B30" s="102" t="inlineStr">
        <is>
          <t>Bed / Room Charges</t>
        </is>
      </c>
      <c r="C30" s="102" t="inlineStr">
        <is>
          <t>General Ward — 1 Day</t>
        </is>
      </c>
      <c r="D30" s="101" t="inlineStr">
        <is>
          <t>Day</t>
        </is>
      </c>
      <c r="E30" s="101" t="n">
        <v>1</v>
      </c>
      <c r="F30" s="103" t="n">
        <v>1000</v>
      </c>
      <c r="G30" s="103" t="n">
        <v>1000</v>
      </c>
      <c r="H30" s="102" t="inlineStr">
        <is>
          <t>—</t>
        </is>
      </c>
      <c r="I30" s="102" t="inlineStr">
        <is>
          <t>—</t>
        </is>
      </c>
      <c r="J30" s="104" t="inlineStr">
        <is>
          <t>Fixed hospital rate</t>
        </is>
      </c>
    </row>
    <row r="32" ht="15" customHeight="1" s="66">
      <c r="A32" s="105" t="inlineStr">
        <is>
          <t xml:space="preserve">  SECTION C — OT / PROCEDURE CHARGES</t>
        </is>
      </c>
    </row>
    <row r="33" ht="13.5" customHeight="1" s="66">
      <c r="A33" s="106" t="n">
        <v>1</v>
      </c>
      <c r="B33" s="107" t="inlineStr">
        <is>
          <t>OT / Procedure Charges</t>
        </is>
      </c>
      <c r="C33" s="107" t="inlineStr">
        <is>
          <t>Per procedure</t>
        </is>
      </c>
      <c r="D33" s="106" t="inlineStr">
        <is>
          <t>—</t>
        </is>
      </c>
      <c r="E33" s="106" t="n">
        <v>1</v>
      </c>
      <c r="F33" s="108" t="n">
        <v>1500</v>
      </c>
      <c r="G33" s="108" t="n">
        <v>1500</v>
      </c>
      <c r="H33" s="107" t="inlineStr">
        <is>
          <t>—</t>
        </is>
      </c>
      <c r="I33" s="107" t="inlineStr">
        <is>
          <t>—</t>
        </is>
      </c>
      <c r="J33" s="109" t="inlineStr">
        <is>
          <t>Fixed hospital rate</t>
        </is>
      </c>
    </row>
    <row r="35" ht="21.75" customHeight="1" s="66">
      <c r="A35" s="110" t="inlineStr">
        <is>
          <t>GRAND TOTAL PATIENT BILL</t>
        </is>
      </c>
      <c r="B35" s="111" t="n"/>
      <c r="C35" s="111" t="n"/>
      <c r="D35" s="111" t="n"/>
      <c r="E35" s="111" t="n"/>
      <c r="F35" s="111" t="n"/>
      <c r="G35" s="112" t="n">
        <v>4174.91</v>
      </c>
      <c r="H35" s="113" t="inlineStr">
        <is>
          <t>Total Cost: ₹693.48  |  Margin: ₹3,481.43</t>
        </is>
      </c>
      <c r="I35" s="111" t="n"/>
      <c r="J35" s="114" t="n"/>
    </row>
    <row r="37" ht="18" customHeight="1" s="66">
      <c r="A37" s="115" t="inlineStr">
        <is>
          <t xml:space="preserve">  🟡 Amber rows = estimated MRP (market/proxy rate); cost shown as 30% below MRP.   🔴 Red rows = MRP not found; enter manually.   White/blue rows = actual invoice MRP.</t>
        </is>
      </c>
    </row>
    <row r="38" ht="18" customHeight="1" s="66">
      <c r="A38" s="116" t="inlineStr">
        <is>
          <t>⚠ 1 item(s) without MRP: Inj. Xone (1g)</t>
        </is>
      </c>
    </row>
  </sheetData>
  <mergeCells count="12">
    <mergeCell ref="A1:J1"/>
    <mergeCell ref="H35:I35"/>
    <mergeCell ref="A32:J32"/>
    <mergeCell ref="A37:J37"/>
    <mergeCell ref="E2:F2"/>
    <mergeCell ref="I2:J2"/>
    <mergeCell ref="A3:J3"/>
    <mergeCell ref="A27:F27"/>
    <mergeCell ref="A29:J29"/>
    <mergeCell ref="A35:F35"/>
    <mergeCell ref="A2:D2"/>
    <mergeCell ref="A38:J3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J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328125" defaultRowHeight="14.25" zeroHeight="0" outlineLevelRow="0"/>
  <cols>
    <col width="5" customWidth="1" style="65" min="1" max="1"/>
    <col width="30" customWidth="1" style="65" min="2" max="2"/>
    <col width="20" customWidth="1" style="65" min="3" max="3"/>
    <col width="9" customWidth="1" style="65" min="4" max="4"/>
    <col width="6" customWidth="1" style="65" min="5" max="5"/>
    <col width="14" customWidth="1" style="65" min="6" max="6"/>
    <col width="15" customWidth="1" style="65" min="7" max="7"/>
    <col width="14" customWidth="1" style="65" min="8" max="8"/>
    <col width="15" customWidth="1" style="65" min="9" max="9"/>
    <col width="22" customWidth="1" style="65" min="10" max="10"/>
  </cols>
  <sheetData>
    <row r="1" ht="21.75" customHeight="1" s="66">
      <c r="A1" s="78" t="inlineStr">
        <is>
          <t>BK ADITYA MULTISPECIALTY HOSPITAL — PATIENT BILL</t>
        </is>
      </c>
    </row>
    <row r="2" ht="18" customHeight="1" s="66">
      <c r="A2" s="79" t="inlineStr">
        <is>
          <t>Patient: Pt. Gupta Sin</t>
        </is>
      </c>
      <c r="E2" s="80" t="inlineStr">
        <is>
          <t>Doctor: Not mentioned</t>
        </is>
      </c>
      <c r="G2" s="80" t="inlineStr">
        <is>
          <t>Date: Not mentioned</t>
        </is>
      </c>
      <c r="H2" s="80" t="inlineStr">
        <is>
          <t>Indent: 80</t>
        </is>
      </c>
      <c r="I2" s="80" t="inlineStr">
        <is>
          <t>Type: Ward</t>
        </is>
      </c>
    </row>
    <row r="3" ht="15" customHeight="1" s="66">
      <c r="A3" s="81" t="inlineStr">
        <is>
          <t xml:space="preserve">  SECTION A — CONSUMABLES &amp; MEDICINES</t>
        </is>
      </c>
    </row>
    <row r="4" ht="30" customHeight="1" s="66">
      <c r="A4" s="82" t="inlineStr">
        <is>
          <t>Sl</t>
        </is>
      </c>
      <c r="B4" s="82" t="inlineStr">
        <is>
          <t>Item Name</t>
        </is>
      </c>
      <c r="C4" s="82" t="inlineStr">
        <is>
          <t>Specification</t>
        </is>
      </c>
      <c r="D4" s="82" t="inlineStr">
        <is>
          <t>Unit</t>
        </is>
      </c>
      <c r="E4" s="82" t="inlineStr">
        <is>
          <t>Qty</t>
        </is>
      </c>
      <c r="F4" s="82" t="inlineStr">
        <is>
          <t>MRP/Unit (₹)</t>
        </is>
      </c>
      <c r="G4" s="82" t="inlineStr">
        <is>
          <t>Charge @MRP (₹)</t>
        </is>
      </c>
      <c r="H4" s="82" t="inlineStr">
        <is>
          <t>Cost/Unit (₹)</t>
        </is>
      </c>
      <c r="I4" s="82" t="inlineStr">
        <is>
          <t>Cost Total (₹)</t>
        </is>
      </c>
      <c r="J4" s="82" t="inlineStr">
        <is>
          <t>Source / Remarks</t>
        </is>
      </c>
    </row>
    <row r="5" ht="13.5" customHeight="1" s="66">
      <c r="A5" s="83" t="n">
        <v>1</v>
      </c>
      <c r="B5" s="84" t="inlineStr">
        <is>
          <t>Gloves 7 No.</t>
        </is>
      </c>
      <c r="C5" s="84" t="inlineStr">
        <is>
          <t>Surgical gloves</t>
        </is>
      </c>
      <c r="D5" s="83" t="inlineStr">
        <is>
          <t>No.</t>
        </is>
      </c>
      <c r="E5" s="83" t="n">
        <v>2</v>
      </c>
      <c r="F5" s="85" t="n">
        <v>91</v>
      </c>
      <c r="G5" s="85" t="n">
        <v>182</v>
      </c>
      <c r="H5" s="85" t="n">
        <v>19.06</v>
      </c>
      <c r="I5" s="85" t="n">
        <v>38.12</v>
      </c>
      <c r="J5" s="84" t="inlineStr">
        <is>
          <t>Vivek F-747</t>
        </is>
      </c>
    </row>
    <row r="6" ht="13.5" customHeight="1" s="66">
      <c r="A6" s="89" t="n">
        <v>2</v>
      </c>
      <c r="B6" s="90" t="inlineStr">
        <is>
          <t>Cap</t>
        </is>
      </c>
      <c r="C6" s="90" t="inlineStr">
        <is>
          <t>Disposable</t>
        </is>
      </c>
      <c r="D6" s="89" t="inlineStr">
        <is>
          <t>No.</t>
        </is>
      </c>
      <c r="E6" s="89" t="n">
        <v>3</v>
      </c>
      <c r="F6" s="91" t="n">
        <v>25</v>
      </c>
      <c r="G6" s="91" t="n">
        <v>75</v>
      </c>
      <c r="H6" s="91" t="inlineStr">
        <is>
          <t>⚠</t>
        </is>
      </c>
      <c r="I6" s="91" t="inlineStr">
        <is>
          <t>⚠</t>
        </is>
      </c>
      <c r="J6" s="90" t="inlineStr">
        <is>
          <t>MRP filled; cost ⚠</t>
        </is>
      </c>
    </row>
    <row r="7" ht="13.5" customHeight="1" s="66">
      <c r="A7" s="89" t="n">
        <v>3</v>
      </c>
      <c r="B7" s="90" t="inlineStr">
        <is>
          <t>Mask</t>
        </is>
      </c>
      <c r="C7" s="90" t="inlineStr">
        <is>
          <t>Disposable</t>
        </is>
      </c>
      <c r="D7" s="89" t="inlineStr">
        <is>
          <t>No.</t>
        </is>
      </c>
      <c r="E7" s="89" t="n">
        <v>3</v>
      </c>
      <c r="F7" s="91" t="n">
        <v>25</v>
      </c>
      <c r="G7" s="91" t="n">
        <v>75</v>
      </c>
      <c r="H7" s="91" t="inlineStr">
        <is>
          <t>⚠</t>
        </is>
      </c>
      <c r="I7" s="91" t="inlineStr">
        <is>
          <t>⚠</t>
        </is>
      </c>
      <c r="J7" s="90" t="inlineStr">
        <is>
          <t>MRP filled; cost ⚠</t>
        </is>
      </c>
    </row>
    <row r="8" ht="13.5" customHeight="1" s="66">
      <c r="A8" s="86" t="n">
        <v>4</v>
      </c>
      <c r="B8" s="87" t="inlineStr">
        <is>
          <t>Betadine Lotion 100ml</t>
        </is>
      </c>
      <c r="C8" s="87" t="inlineStr">
        <is>
          <t>Povidone-Iodine</t>
        </is>
      </c>
      <c r="D8" s="86" t="inlineStr">
        <is>
          <t>No.</t>
        </is>
      </c>
      <c r="E8" s="86" t="n">
        <v>1</v>
      </c>
      <c r="F8" s="88" t="n">
        <v>236.25</v>
      </c>
      <c r="G8" s="88" t="n">
        <v>236.25</v>
      </c>
      <c r="H8" s="88" t="n">
        <v>200</v>
      </c>
      <c r="I8" s="88" t="n">
        <v>200</v>
      </c>
      <c r="J8" s="87" t="inlineStr">
        <is>
          <t>SSB S000069</t>
        </is>
      </c>
    </row>
    <row r="9" ht="13.5" customHeight="1" s="66">
      <c r="A9" s="83" t="n">
        <v>5</v>
      </c>
      <c r="B9" s="84" t="inlineStr">
        <is>
          <t>IVF NS 500ml</t>
        </is>
      </c>
      <c r="C9" s="84" t="inlineStr">
        <is>
          <t>Normal Saline</t>
        </is>
      </c>
      <c r="D9" s="83" t="inlineStr">
        <is>
          <t>No.</t>
        </is>
      </c>
      <c r="E9" s="83" t="n">
        <v>1</v>
      </c>
      <c r="F9" s="85" t="n">
        <v>39.05</v>
      </c>
      <c r="G9" s="85" t="n">
        <v>39.05</v>
      </c>
      <c r="H9" s="85" t="n">
        <v>16.67</v>
      </c>
      <c r="I9" s="85" t="n">
        <v>16.67</v>
      </c>
      <c r="J9" s="84" t="inlineStr">
        <is>
          <t>SSB S000068</t>
        </is>
      </c>
    </row>
    <row r="10" ht="15.75" customHeight="1" s="66">
      <c r="A10" s="96" t="inlineStr">
        <is>
          <t xml:space="preserve">  Subtotal — Consumables / Medicines</t>
        </is>
      </c>
      <c r="B10" s="97" t="n"/>
      <c r="C10" s="97" t="n"/>
      <c r="D10" s="97" t="n"/>
      <c r="E10" s="97" t="n"/>
      <c r="F10" s="97" t="n"/>
      <c r="G10" s="98" t="n">
        <v>457.3</v>
      </c>
      <c r="H10" s="99" t="n"/>
      <c r="I10" s="98" t="n">
        <v>254.79</v>
      </c>
      <c r="J10" s="99" t="n"/>
    </row>
    <row r="12" ht="15" customHeight="1" s="66">
      <c r="A12" s="100" t="inlineStr">
        <is>
          <t xml:space="preserve">  SECTION B — ROOM / BED CHARGES</t>
        </is>
      </c>
    </row>
    <row r="13" ht="13.5" customHeight="1" s="66">
      <c r="A13" s="101" t="n">
        <v>1</v>
      </c>
      <c r="B13" s="102" t="inlineStr">
        <is>
          <t>Bed / Room Charges</t>
        </is>
      </c>
      <c r="C13" s="102" t="inlineStr">
        <is>
          <t>General Ward — 1 Day</t>
        </is>
      </c>
      <c r="D13" s="101" t="inlineStr">
        <is>
          <t>Day</t>
        </is>
      </c>
      <c r="E13" s="101" t="n">
        <v>1</v>
      </c>
      <c r="F13" s="103" t="n">
        <v>1000</v>
      </c>
      <c r="G13" s="103" t="n">
        <v>1000</v>
      </c>
      <c r="H13" s="102" t="inlineStr">
        <is>
          <t>—</t>
        </is>
      </c>
      <c r="I13" s="102" t="inlineStr">
        <is>
          <t>—</t>
        </is>
      </c>
      <c r="J13" s="104" t="inlineStr">
        <is>
          <t>Fixed hospital rate</t>
        </is>
      </c>
    </row>
    <row r="15" ht="15" customHeight="1" s="66">
      <c r="A15" s="105" t="inlineStr">
        <is>
          <t xml:space="preserve">  SECTION C — OT / PROCEDURE CHARGES</t>
        </is>
      </c>
    </row>
    <row r="16" ht="13.5" customHeight="1" s="66">
      <c r="A16" s="106" t="n">
        <v>1</v>
      </c>
      <c r="B16" s="107" t="inlineStr">
        <is>
          <t>OT / Procedure Charges</t>
        </is>
      </c>
      <c r="C16" s="107" t="inlineStr">
        <is>
          <t>Per procedure</t>
        </is>
      </c>
      <c r="D16" s="106" t="inlineStr">
        <is>
          <t>—</t>
        </is>
      </c>
      <c r="E16" s="106" t="n">
        <v>1</v>
      </c>
      <c r="F16" s="108" t="n">
        <v>1500</v>
      </c>
      <c r="G16" s="108" t="n">
        <v>1500</v>
      </c>
      <c r="H16" s="107" t="inlineStr">
        <is>
          <t>—</t>
        </is>
      </c>
      <c r="I16" s="107" t="inlineStr">
        <is>
          <t>—</t>
        </is>
      </c>
      <c r="J16" s="109" t="inlineStr">
        <is>
          <t>Fixed hospital rate</t>
        </is>
      </c>
    </row>
    <row r="18" ht="21.75" customHeight="1" s="66">
      <c r="A18" s="110" t="inlineStr">
        <is>
          <t>GRAND TOTAL PATIENT BILL</t>
        </is>
      </c>
      <c r="B18" s="111" t="n"/>
      <c r="C18" s="111" t="n"/>
      <c r="D18" s="111" t="n"/>
      <c r="E18" s="111" t="n"/>
      <c r="F18" s="111" t="n"/>
      <c r="G18" s="112" t="n">
        <v>2957.3</v>
      </c>
      <c r="H18" s="113" t="inlineStr">
        <is>
          <t>Total Cost: ₹254.79  |  Margin: ₹2,702.51</t>
        </is>
      </c>
      <c r="I18" s="111" t="n"/>
      <c r="J18" s="114" t="n"/>
    </row>
    <row r="20" ht="18" customHeight="1" s="66">
      <c r="A20" s="115" t="inlineStr">
        <is>
          <t xml:space="preserve">  🟡 Amber rows = estimated MRP (market/proxy rate); cost shown as 30% below MRP.   🔴 Red rows = MRP not found; enter manually.   White/blue rows = actual invoice MRP.</t>
        </is>
      </c>
    </row>
    <row r="21" ht="18" customHeight="1" s="66">
      <c r="A21" s="116" t="inlineStr">
        <is>
          <t>⚠ 2 item(s) without MRP: Cap | Mask</t>
        </is>
      </c>
    </row>
  </sheetData>
  <mergeCells count="12">
    <mergeCell ref="A1:J1"/>
    <mergeCell ref="A10:F10"/>
    <mergeCell ref="E2:F2"/>
    <mergeCell ref="I2:J2"/>
    <mergeCell ref="A3:J3"/>
    <mergeCell ref="H18:I18"/>
    <mergeCell ref="A21:J21"/>
    <mergeCell ref="A12:J12"/>
    <mergeCell ref="A15:J15"/>
    <mergeCell ref="A18:F18"/>
    <mergeCell ref="A2:D2"/>
    <mergeCell ref="A20:J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J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328125" defaultRowHeight="14.25" zeroHeight="0" outlineLevelRow="0"/>
  <cols>
    <col width="5" customWidth="1" style="65" min="1" max="1"/>
    <col width="30" customWidth="1" style="65" min="2" max="2"/>
    <col width="20" customWidth="1" style="65" min="3" max="3"/>
    <col width="9" customWidth="1" style="65" min="4" max="4"/>
    <col width="6" customWidth="1" style="65" min="5" max="5"/>
    <col width="14" customWidth="1" style="65" min="6" max="6"/>
    <col width="15" customWidth="1" style="65" min="7" max="7"/>
    <col width="14" customWidth="1" style="65" min="8" max="8"/>
    <col width="15" customWidth="1" style="65" min="9" max="9"/>
    <col width="22" customWidth="1" style="65" min="10" max="10"/>
  </cols>
  <sheetData>
    <row r="1" ht="21.75" customHeight="1" s="66">
      <c r="A1" s="78" t="inlineStr">
        <is>
          <t>BK ADITYA MULTISPECIALTY HOSPITAL — PATIENT BILL</t>
        </is>
      </c>
    </row>
    <row r="2" ht="18" customHeight="1" s="66">
      <c r="A2" s="79" t="inlineStr">
        <is>
          <t>Patient: Ishita Peri</t>
        </is>
      </c>
      <c r="E2" s="80" t="inlineStr">
        <is>
          <t>Doctor: Dr. A.M. Digga</t>
        </is>
      </c>
      <c r="G2" s="80" t="inlineStr">
        <is>
          <t>Date: 19/04/2026</t>
        </is>
      </c>
      <c r="H2" s="80" t="inlineStr">
        <is>
          <t>Indent: —</t>
        </is>
      </c>
      <c r="I2" s="80" t="inlineStr">
        <is>
          <t>Type: OT</t>
        </is>
      </c>
    </row>
    <row r="3" ht="15" customHeight="1" s="66">
      <c r="A3" s="81" t="inlineStr">
        <is>
          <t xml:space="preserve">  SECTION A — CONSUMABLES &amp; MEDICINES</t>
        </is>
      </c>
    </row>
    <row r="4" ht="30" customHeight="1" s="66">
      <c r="A4" s="82" t="inlineStr">
        <is>
          <t>Sl</t>
        </is>
      </c>
      <c r="B4" s="82" t="inlineStr">
        <is>
          <t>Item Name</t>
        </is>
      </c>
      <c r="C4" s="82" t="inlineStr">
        <is>
          <t>Specification</t>
        </is>
      </c>
      <c r="D4" s="82" t="inlineStr">
        <is>
          <t>Unit</t>
        </is>
      </c>
      <c r="E4" s="82" t="inlineStr">
        <is>
          <t>Qty</t>
        </is>
      </c>
      <c r="F4" s="82" t="inlineStr">
        <is>
          <t>MRP/Unit (₹)</t>
        </is>
      </c>
      <c r="G4" s="82" t="inlineStr">
        <is>
          <t>Charge @MRP (₹)</t>
        </is>
      </c>
      <c r="H4" s="82" t="inlineStr">
        <is>
          <t>Cost/Unit (₹)</t>
        </is>
      </c>
      <c r="I4" s="82" t="inlineStr">
        <is>
          <t>Cost Total (₹)</t>
        </is>
      </c>
      <c r="J4" s="82" t="inlineStr">
        <is>
          <t>Source / Remarks</t>
        </is>
      </c>
    </row>
    <row r="5" ht="13.5" customHeight="1" s="66">
      <c r="A5" s="117" t="n">
        <v>1</v>
      </c>
      <c r="B5" s="118" t="inlineStr">
        <is>
          <t>Propofol Injection 20ml</t>
        </is>
      </c>
      <c r="C5" s="118" t="inlineStr">
        <is>
          <t>Propofol</t>
        </is>
      </c>
      <c r="D5" s="117" t="inlineStr">
        <is>
          <t>No.</t>
        </is>
      </c>
      <c r="E5" s="117" t="n">
        <v>2</v>
      </c>
      <c r="F5" s="119" t="n">
        <v>72.2</v>
      </c>
      <c r="G5" s="119" t="n">
        <v>144.4</v>
      </c>
      <c r="H5" s="119" t="n">
        <v>50.54</v>
      </c>
      <c r="I5" s="119" t="n">
        <v>101.08</v>
      </c>
      <c r="J5" s="118" t="inlineStr">
        <is>
          <t>⚠ Est. — Market rate | Cost = 30% below MRP</t>
        </is>
      </c>
    </row>
    <row r="6" ht="13.5" customHeight="1" s="66">
      <c r="A6" s="86" t="n">
        <v>2</v>
      </c>
      <c r="B6" s="87" t="inlineStr">
        <is>
          <t>Ondansetron Injection 4ml</t>
        </is>
      </c>
      <c r="C6" s="87" t="inlineStr">
        <is>
          <t>Ondansetron</t>
        </is>
      </c>
      <c r="D6" s="86" t="inlineStr">
        <is>
          <t>No.</t>
        </is>
      </c>
      <c r="E6" s="86" t="n">
        <v>2</v>
      </c>
      <c r="F6" s="88" t="n">
        <v>12.72</v>
      </c>
      <c r="G6" s="88" t="n">
        <v>25.44</v>
      </c>
      <c r="H6" s="88" t="n">
        <v>4.85</v>
      </c>
      <c r="I6" s="88" t="n">
        <v>9.699999999999999</v>
      </c>
      <c r="J6" s="87" t="inlineStr">
        <is>
          <t>SSB S000068</t>
        </is>
      </c>
    </row>
    <row r="7" ht="13.5" customHeight="1" s="66">
      <c r="A7" s="117" t="n">
        <v>3</v>
      </c>
      <c r="B7" s="118" t="inlineStr">
        <is>
          <t>Pentazocine Injection</t>
        </is>
      </c>
      <c r="C7" s="118" t="inlineStr">
        <is>
          <t>Pentazocine</t>
        </is>
      </c>
      <c r="D7" s="117" t="inlineStr">
        <is>
          <t>No.</t>
        </is>
      </c>
      <c r="E7" s="117" t="n">
        <v>1</v>
      </c>
      <c r="F7" s="119" t="n">
        <v>70</v>
      </c>
      <c r="G7" s="119" t="n">
        <v>70</v>
      </c>
      <c r="H7" s="119" t="n">
        <v>49</v>
      </c>
      <c r="I7" s="119" t="n">
        <v>49</v>
      </c>
      <c r="J7" s="118" t="inlineStr">
        <is>
          <t>⚠ Est. — Market rate | Cost = 30% below MRP</t>
        </is>
      </c>
    </row>
    <row r="8" ht="13.5" customHeight="1" s="66">
      <c r="A8" s="89" t="n">
        <v>4</v>
      </c>
      <c r="B8" s="90" t="inlineStr">
        <is>
          <t>Inj. Xone</t>
        </is>
      </c>
      <c r="C8" s="90" t="inlineStr">
        <is>
          <t>Ceftriaxone</t>
        </is>
      </c>
      <c r="D8" s="89" t="inlineStr">
        <is>
          <t>No.</t>
        </is>
      </c>
      <c r="E8" s="89" t="n">
        <v>1</v>
      </c>
      <c r="F8" s="91" t="n">
        <v>66.64</v>
      </c>
      <c r="G8" s="91" t="n">
        <v>66.64</v>
      </c>
      <c r="H8" s="91" t="n">
        <v>25.71</v>
      </c>
      <c r="I8" s="91" t="n">
        <v>25.71</v>
      </c>
      <c r="J8" s="90" t="inlineStr">
        <is>
          <t>Filled from stock/rate card</t>
        </is>
      </c>
    </row>
    <row r="9" ht="13.5" customHeight="1" s="66">
      <c r="A9" s="83" t="n">
        <v>5</v>
      </c>
      <c r="B9" s="84" t="inlineStr">
        <is>
          <t>Inj. Pan 40</t>
        </is>
      </c>
      <c r="C9" s="84" t="inlineStr">
        <is>
          <t>Pantoprazole</t>
        </is>
      </c>
      <c r="D9" s="83" t="inlineStr">
        <is>
          <t>No.</t>
        </is>
      </c>
      <c r="E9" s="83" t="n">
        <v>1</v>
      </c>
      <c r="F9" s="85" t="n">
        <v>53.9</v>
      </c>
      <c r="G9" s="85" t="n">
        <v>53.9</v>
      </c>
      <c r="H9" s="85" t="n">
        <v>41.07</v>
      </c>
      <c r="I9" s="85" t="n">
        <v>41.07</v>
      </c>
      <c r="J9" s="84" t="inlineStr">
        <is>
          <t>SSB S000135</t>
        </is>
      </c>
    </row>
    <row r="10" ht="13.5" customHeight="1" s="66">
      <c r="A10" s="86" t="n">
        <v>6</v>
      </c>
      <c r="B10" s="87" t="inlineStr">
        <is>
          <t>Inj. Medazolam</t>
        </is>
      </c>
      <c r="C10" s="87" t="inlineStr">
        <is>
          <t>Midazolam</t>
        </is>
      </c>
      <c r="D10" s="86" t="inlineStr">
        <is>
          <t>No.</t>
        </is>
      </c>
      <c r="E10" s="86" t="n">
        <v>1</v>
      </c>
      <c r="F10" s="88" t="n">
        <v>31.03</v>
      </c>
      <c r="G10" s="88" t="n">
        <v>31.03</v>
      </c>
      <c r="H10" s="88" t="n">
        <v>23.81</v>
      </c>
      <c r="I10" s="88" t="n">
        <v>23.81</v>
      </c>
      <c r="J10" s="87" t="inlineStr">
        <is>
          <t>SSB S000092</t>
        </is>
      </c>
    </row>
    <row r="11" ht="13.5" customHeight="1" s="66">
      <c r="A11" s="117" t="n">
        <v>7</v>
      </c>
      <c r="B11" s="118" t="inlineStr">
        <is>
          <t>Inj. PCM 1000ml</t>
        </is>
      </c>
      <c r="C11" s="118" t="inlineStr">
        <is>
          <t>Paracetamol IV</t>
        </is>
      </c>
      <c r="D11" s="117" t="inlineStr">
        <is>
          <t>No.</t>
        </is>
      </c>
      <c r="E11" s="117" t="n">
        <v>1</v>
      </c>
      <c r="F11" s="119" t="n">
        <v>501.15</v>
      </c>
      <c r="G11" s="119" t="n">
        <v>501.15</v>
      </c>
      <c r="H11" s="119" t="n">
        <v>350.81</v>
      </c>
      <c r="I11" s="119" t="n">
        <v>350.81</v>
      </c>
      <c r="J11" s="118" t="inlineStr">
        <is>
          <t>⚠ Est. — PCM 100ml proxy | Cost = 30% below MRP</t>
        </is>
      </c>
    </row>
    <row r="12" ht="13.5" customHeight="1" s="66">
      <c r="A12" s="86" t="n">
        <v>8</v>
      </c>
      <c r="B12" s="87" t="inlineStr">
        <is>
          <t>NS 500ml</t>
        </is>
      </c>
      <c r="C12" s="87" t="inlineStr">
        <is>
          <t>Normal Saline</t>
        </is>
      </c>
      <c r="D12" s="86" t="inlineStr">
        <is>
          <t>No.</t>
        </is>
      </c>
      <c r="E12" s="86" t="n">
        <v>1</v>
      </c>
      <c r="F12" s="88" t="n">
        <v>39.05</v>
      </c>
      <c r="G12" s="88" t="n">
        <v>39.05</v>
      </c>
      <c r="H12" s="88" t="n">
        <v>16.67</v>
      </c>
      <c r="I12" s="88" t="n">
        <v>16.67</v>
      </c>
      <c r="J12" s="87" t="inlineStr">
        <is>
          <t>SSB S000068</t>
        </is>
      </c>
    </row>
    <row r="13" ht="13.5" customHeight="1" s="66">
      <c r="A13" s="83" t="n">
        <v>9</v>
      </c>
      <c r="B13" s="84" t="inlineStr">
        <is>
          <t>Inj. MEM</t>
        </is>
      </c>
      <c r="C13" s="84" t="inlineStr">
        <is>
          <t>Meropenem</t>
        </is>
      </c>
      <c r="D13" s="83" t="inlineStr">
        <is>
          <t>No.</t>
        </is>
      </c>
      <c r="E13" s="83" t="n">
        <v>1</v>
      </c>
      <c r="F13" s="85" t="n">
        <v>15.9</v>
      </c>
      <c r="G13" s="85" t="n">
        <v>15.9</v>
      </c>
      <c r="H13" s="85" t="n">
        <v>11.71</v>
      </c>
      <c r="I13" s="85" t="n">
        <v>11.71</v>
      </c>
      <c r="J13" s="84" t="inlineStr">
        <is>
          <t>SSB S000068</t>
        </is>
      </c>
    </row>
    <row r="14" ht="13.5" customHeight="1" s="66">
      <c r="A14" s="86" t="n">
        <v>10</v>
      </c>
      <c r="B14" s="87" t="inlineStr">
        <is>
          <t>Inj. Pyrolate</t>
        </is>
      </c>
      <c r="C14" s="87" t="inlineStr">
        <is>
          <t>Glycopyrrolate</t>
        </is>
      </c>
      <c r="D14" s="86" t="inlineStr">
        <is>
          <t>No.</t>
        </is>
      </c>
      <c r="E14" s="86" t="n">
        <v>1</v>
      </c>
      <c r="F14" s="88" t="n">
        <v>15.37</v>
      </c>
      <c r="G14" s="88" t="n">
        <v>15.37</v>
      </c>
      <c r="H14" s="88" t="n">
        <v>11.24</v>
      </c>
      <c r="I14" s="88" t="n">
        <v>11.24</v>
      </c>
      <c r="J14" s="87" t="inlineStr">
        <is>
          <t>SSB S000092</t>
        </is>
      </c>
    </row>
    <row r="15" ht="13.5" customHeight="1" s="66">
      <c r="A15" s="89" t="n">
        <v>11</v>
      </c>
      <c r="B15" s="90" t="inlineStr">
        <is>
          <t>Inj. Tramadol</t>
        </is>
      </c>
      <c r="C15" s="90" t="inlineStr">
        <is>
          <t>Tramadol</t>
        </is>
      </c>
      <c r="D15" s="89" t="inlineStr">
        <is>
          <t>No.</t>
        </is>
      </c>
      <c r="E15" s="89" t="n">
        <v>1</v>
      </c>
      <c r="F15" s="91" t="n">
        <v>12.56</v>
      </c>
      <c r="G15" s="91" t="n">
        <v>12.56</v>
      </c>
      <c r="H15" s="91" t="n">
        <v>4.76</v>
      </c>
      <c r="I15" s="91" t="n">
        <v>4.76</v>
      </c>
      <c r="J15" s="90" t="inlineStr">
        <is>
          <t>Filled from stock/rate card</t>
        </is>
      </c>
    </row>
    <row r="16" ht="13.5" customHeight="1" s="66">
      <c r="A16" s="86" t="n">
        <v>12</v>
      </c>
      <c r="B16" s="87" t="inlineStr">
        <is>
          <t>Inj. Oxytocin</t>
        </is>
      </c>
      <c r="C16" s="87" t="n"/>
      <c r="D16" s="86" t="inlineStr">
        <is>
          <t>No.</t>
        </is>
      </c>
      <c r="E16" s="86" t="n">
        <v>1</v>
      </c>
      <c r="F16" s="88" t="n">
        <v>19.03</v>
      </c>
      <c r="G16" s="88" t="n">
        <v>19.03</v>
      </c>
      <c r="H16" s="88" t="n">
        <v>12.57</v>
      </c>
      <c r="I16" s="88" t="n">
        <v>12.57</v>
      </c>
      <c r="J16" s="87" t="inlineStr">
        <is>
          <t>SSB S000068</t>
        </is>
      </c>
    </row>
    <row r="17" ht="13.5" customHeight="1" s="66">
      <c r="A17" s="83" t="n">
        <v>13</v>
      </c>
      <c r="B17" s="84" t="inlineStr">
        <is>
          <t>IV Set</t>
        </is>
      </c>
      <c r="C17" s="84" t="n"/>
      <c r="D17" s="83" t="inlineStr">
        <is>
          <t>No.</t>
        </is>
      </c>
      <c r="E17" s="83" t="n">
        <v>1</v>
      </c>
      <c r="F17" s="85" t="n">
        <v>201</v>
      </c>
      <c r="G17" s="85" t="n">
        <v>201</v>
      </c>
      <c r="H17" s="85" t="n">
        <v>10.48</v>
      </c>
      <c r="I17" s="85" t="n">
        <v>10.48</v>
      </c>
      <c r="J17" s="84" t="inlineStr">
        <is>
          <t>SSB S000069</t>
        </is>
      </c>
    </row>
    <row r="18" ht="13.5" customHeight="1" s="66">
      <c r="A18" s="86" t="n">
        <v>14</v>
      </c>
      <c r="B18" s="87" t="inlineStr">
        <is>
          <t>Syringe 10cc</t>
        </is>
      </c>
      <c r="C18" s="87" t="n"/>
      <c r="D18" s="86" t="inlineStr">
        <is>
          <t>No.</t>
        </is>
      </c>
      <c r="E18" s="86" t="n">
        <v>2</v>
      </c>
      <c r="F18" s="88" t="n">
        <v>20</v>
      </c>
      <c r="G18" s="88" t="n">
        <v>40</v>
      </c>
      <c r="H18" s="88" t="n">
        <v>3.76</v>
      </c>
      <c r="I18" s="88" t="n">
        <v>7.52</v>
      </c>
      <c r="J18" s="87" t="inlineStr">
        <is>
          <t>SSB S000069</t>
        </is>
      </c>
    </row>
    <row r="19" ht="13.5" customHeight="1" s="66">
      <c r="A19" s="83" t="n">
        <v>15</v>
      </c>
      <c r="B19" s="84" t="inlineStr">
        <is>
          <t>Syringe 5cc</t>
        </is>
      </c>
      <c r="C19" s="84" t="n"/>
      <c r="D19" s="83" t="inlineStr">
        <is>
          <t>No.</t>
        </is>
      </c>
      <c r="E19" s="83" t="n">
        <v>2</v>
      </c>
      <c r="F19" s="85" t="n">
        <v>10.23</v>
      </c>
      <c r="G19" s="85" t="n">
        <v>20.46</v>
      </c>
      <c r="H19" s="85" t="n">
        <v>2.38</v>
      </c>
      <c r="I19" s="85" t="n">
        <v>4.76</v>
      </c>
      <c r="J19" s="84" t="inlineStr">
        <is>
          <t>SSB S000069</t>
        </is>
      </c>
    </row>
    <row r="20" ht="13.5" customHeight="1" s="66">
      <c r="A20" s="86" t="n">
        <v>16</v>
      </c>
      <c r="B20" s="87" t="inlineStr">
        <is>
          <t>IV Cannula</t>
        </is>
      </c>
      <c r="C20" s="87" t="n"/>
      <c r="D20" s="86" t="inlineStr">
        <is>
          <t>No.</t>
        </is>
      </c>
      <c r="E20" s="86" t="n">
        <v>1</v>
      </c>
      <c r="F20" s="88" t="n">
        <v>202.55</v>
      </c>
      <c r="G20" s="88" t="n">
        <v>202.55</v>
      </c>
      <c r="H20" s="88" t="n">
        <v>7.14</v>
      </c>
      <c r="I20" s="88" t="n">
        <v>7.14</v>
      </c>
      <c r="J20" s="87" t="inlineStr">
        <is>
          <t>SSB S000069</t>
        </is>
      </c>
    </row>
    <row r="21" ht="13.5" customHeight="1" s="66">
      <c r="A21" s="83" t="n">
        <v>17</v>
      </c>
      <c r="B21" s="84" t="inlineStr">
        <is>
          <t>Easyfix</t>
        </is>
      </c>
      <c r="C21" s="84" t="inlineStr">
        <is>
          <t>Adhesive dressing</t>
        </is>
      </c>
      <c r="D21" s="83" t="inlineStr">
        <is>
          <t>No.</t>
        </is>
      </c>
      <c r="E21" s="83" t="n">
        <v>1</v>
      </c>
      <c r="F21" s="85" t="n">
        <v>900</v>
      </c>
      <c r="G21" s="85" t="n">
        <v>900</v>
      </c>
      <c r="H21" s="85" t="n">
        <v>300</v>
      </c>
      <c r="I21" s="85" t="n">
        <v>300</v>
      </c>
      <c r="J21" s="84" t="inlineStr">
        <is>
          <t>CLD 3x proxy</t>
        </is>
      </c>
    </row>
    <row r="22" ht="13.5" customHeight="1" s="66">
      <c r="A22" s="86" t="n">
        <v>18</v>
      </c>
      <c r="B22" s="87" t="inlineStr">
        <is>
          <t>RL 500ml</t>
        </is>
      </c>
      <c r="C22" s="87" t="inlineStr">
        <is>
          <t>Ringer's Lactate</t>
        </is>
      </c>
      <c r="D22" s="86" t="inlineStr">
        <is>
          <t>No.</t>
        </is>
      </c>
      <c r="E22" s="86" t="n">
        <v>1</v>
      </c>
      <c r="F22" s="88" t="n">
        <v>63.3</v>
      </c>
      <c r="G22" s="88" t="n">
        <v>63.3</v>
      </c>
      <c r="H22" s="88" t="n">
        <v>17.62</v>
      </c>
      <c r="I22" s="88" t="n">
        <v>17.62</v>
      </c>
      <c r="J22" s="87" t="inlineStr">
        <is>
          <t>SSB S000068</t>
        </is>
      </c>
    </row>
    <row r="23" ht="15.75" customHeight="1" s="66">
      <c r="A23" s="96" t="inlineStr">
        <is>
          <t xml:space="preserve">  Subtotal — Consumables / Medicines</t>
        </is>
      </c>
      <c r="B23" s="97" t="n"/>
      <c r="C23" s="97" t="n"/>
      <c r="D23" s="97" t="n"/>
      <c r="E23" s="97" t="n"/>
      <c r="F23" s="97" t="n"/>
      <c r="G23" s="98" t="n">
        <v>2342.58</v>
      </c>
      <c r="H23" s="99" t="n"/>
      <c r="I23" s="98" t="n">
        <v>975.1799999999999</v>
      </c>
      <c r="J23" s="99" t="n"/>
    </row>
    <row r="25" ht="15" customHeight="1" s="66">
      <c r="A25" s="100" t="inlineStr">
        <is>
          <t xml:space="preserve">  SECTION B — ROOM / BED CHARGES</t>
        </is>
      </c>
    </row>
    <row r="26" ht="13.5" customHeight="1" s="66">
      <c r="A26" s="101" t="n">
        <v>1</v>
      </c>
      <c r="B26" s="102" t="inlineStr">
        <is>
          <t>Bed / Room Charges</t>
        </is>
      </c>
      <c r="C26" s="102" t="inlineStr">
        <is>
          <t>General Ward — 1 Day</t>
        </is>
      </c>
      <c r="D26" s="101" t="inlineStr">
        <is>
          <t>Day</t>
        </is>
      </c>
      <c r="E26" s="101" t="n">
        <v>1</v>
      </c>
      <c r="F26" s="103" t="n">
        <v>1000</v>
      </c>
      <c r="G26" s="103" t="n">
        <v>1000</v>
      </c>
      <c r="H26" s="102" t="inlineStr">
        <is>
          <t>—</t>
        </is>
      </c>
      <c r="I26" s="102" t="inlineStr">
        <is>
          <t>—</t>
        </is>
      </c>
      <c r="J26" s="104" t="inlineStr">
        <is>
          <t>Fixed hospital rate</t>
        </is>
      </c>
    </row>
    <row r="28" ht="15" customHeight="1" s="66">
      <c r="A28" s="105" t="inlineStr">
        <is>
          <t xml:space="preserve">  SECTION C — OT / PROCEDURE CHARGES</t>
        </is>
      </c>
    </row>
    <row r="29" ht="13.5" customHeight="1" s="66">
      <c r="A29" s="106" t="n">
        <v>1</v>
      </c>
      <c r="B29" s="107" t="inlineStr">
        <is>
          <t>OT / Procedure Charges</t>
        </is>
      </c>
      <c r="C29" s="107" t="inlineStr">
        <is>
          <t>Per procedure</t>
        </is>
      </c>
      <c r="D29" s="106" t="inlineStr">
        <is>
          <t>—</t>
        </is>
      </c>
      <c r="E29" s="106" t="n">
        <v>1</v>
      </c>
      <c r="F29" s="108" t="n">
        <v>1500</v>
      </c>
      <c r="G29" s="108" t="n">
        <v>1500</v>
      </c>
      <c r="H29" s="107" t="inlineStr">
        <is>
          <t>—</t>
        </is>
      </c>
      <c r="I29" s="107" t="inlineStr">
        <is>
          <t>—</t>
        </is>
      </c>
      <c r="J29" s="109" t="inlineStr">
        <is>
          <t>Fixed hospital rate</t>
        </is>
      </c>
    </row>
    <row r="31" ht="21.75" customHeight="1" s="66">
      <c r="A31" s="110" t="inlineStr">
        <is>
          <t>GRAND TOTAL PATIENT BILL</t>
        </is>
      </c>
      <c r="B31" s="111" t="n"/>
      <c r="C31" s="111" t="n"/>
      <c r="D31" s="111" t="n"/>
      <c r="E31" s="111" t="n"/>
      <c r="F31" s="111" t="n"/>
      <c r="G31" s="112" t="n">
        <v>4842.58</v>
      </c>
      <c r="H31" s="113" t="inlineStr">
        <is>
          <t>Total Cost: ₹975.18  |  Margin: ₹3,867.40</t>
        </is>
      </c>
      <c r="I31" s="111" t="n"/>
      <c r="J31" s="114" t="n"/>
    </row>
    <row r="33" ht="18" customHeight="1" s="66">
      <c r="A33" s="115" t="inlineStr">
        <is>
          <t xml:space="preserve">  🟡 Amber rows = estimated MRP (market/proxy rate); cost shown as 30% below MRP.   🔴 Red rows = MRP not found; enter manually.   White/blue rows = actual invoice MRP.</t>
        </is>
      </c>
    </row>
    <row r="34" ht="18" customHeight="1" s="66">
      <c r="A34" s="116" t="inlineStr">
        <is>
          <t>⚠ 2 item(s) without MRP: Inj. Tramadol | Inj. Xone</t>
        </is>
      </c>
    </row>
  </sheetData>
  <mergeCells count="12">
    <mergeCell ref="A25:J25"/>
    <mergeCell ref="A1:J1"/>
    <mergeCell ref="E2:F2"/>
    <mergeCell ref="I2:J2"/>
    <mergeCell ref="A23:F23"/>
    <mergeCell ref="A3:J3"/>
    <mergeCell ref="A31:F31"/>
    <mergeCell ref="A34:J34"/>
    <mergeCell ref="A2:D2"/>
    <mergeCell ref="H31:I31"/>
    <mergeCell ref="A28:J28"/>
    <mergeCell ref="A33:J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J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14" activePane="bottomLeft" state="frozen"/>
      <selection pane="topLeft" activeCell="A1" activeCellId="0" sqref="A1"/>
      <selection pane="bottomLeft" activeCell="J6" activeCellId="0" sqref="J6"/>
    </sheetView>
  </sheetViews>
  <sheetFormatPr baseColWidth="8" defaultColWidth="8.6328125" defaultRowHeight="14.25" zeroHeight="0" outlineLevelRow="0"/>
  <cols>
    <col width="5" customWidth="1" style="65" min="1" max="1"/>
    <col width="30" customWidth="1" style="65" min="2" max="2"/>
    <col width="20" customWidth="1" style="65" min="3" max="3"/>
    <col width="9" customWidth="1" style="65" min="4" max="4"/>
    <col width="6" customWidth="1" style="65" min="5" max="5"/>
    <col width="14" customWidth="1" style="65" min="6" max="6"/>
    <col width="15" customWidth="1" style="65" min="7" max="7"/>
    <col width="14" customWidth="1" style="65" min="8" max="8"/>
    <col width="15" customWidth="1" style="65" min="9" max="9"/>
    <col width="22" customWidth="1" style="65" min="10" max="10"/>
  </cols>
  <sheetData>
    <row r="1" ht="21.75" customHeight="1" s="66">
      <c r="A1" s="78" t="inlineStr">
        <is>
          <t>BK ADITYA MULTISPECIALTY HOSPITAL — PATIENT BILL</t>
        </is>
      </c>
    </row>
    <row r="2" ht="18" customHeight="1" s="66">
      <c r="A2" s="79" t="inlineStr">
        <is>
          <t>Patient: Suhana Khatun</t>
        </is>
      </c>
      <c r="E2" s="80" t="inlineStr">
        <is>
          <t>Doctor: Ajita Mishra</t>
        </is>
      </c>
      <c r="G2" s="80" t="inlineStr">
        <is>
          <t>Date: 13/04/2026</t>
        </is>
      </c>
      <c r="H2" s="80" t="inlineStr">
        <is>
          <t>Indent: —</t>
        </is>
      </c>
      <c r="I2" s="80" t="inlineStr">
        <is>
          <t>Type: OT+Ward</t>
        </is>
      </c>
    </row>
    <row r="3" ht="15" customHeight="1" s="66">
      <c r="A3" s="81" t="inlineStr">
        <is>
          <t xml:space="preserve">  SECTION A — CONSUMABLES &amp; MEDICINES</t>
        </is>
      </c>
    </row>
    <row r="4" ht="30" customHeight="1" s="66">
      <c r="A4" s="82" t="inlineStr">
        <is>
          <t>Sl</t>
        </is>
      </c>
      <c r="B4" s="82" t="inlineStr">
        <is>
          <t>Item Name</t>
        </is>
      </c>
      <c r="C4" s="82" t="inlineStr">
        <is>
          <t>Specification</t>
        </is>
      </c>
      <c r="D4" s="82" t="inlineStr">
        <is>
          <t>Unit</t>
        </is>
      </c>
      <c r="E4" s="82" t="inlineStr">
        <is>
          <t>Qty</t>
        </is>
      </c>
      <c r="F4" s="82" t="inlineStr">
        <is>
          <t>MRP/Unit (₹)</t>
        </is>
      </c>
      <c r="G4" s="82" t="inlineStr">
        <is>
          <t>Charge @MRP (₹)</t>
        </is>
      </c>
      <c r="H4" s="82" t="inlineStr">
        <is>
          <t>Cost/Unit (₹)</t>
        </is>
      </c>
      <c r="I4" s="82" t="inlineStr">
        <is>
          <t>Cost Total (₹)</t>
        </is>
      </c>
      <c r="J4" s="82" t="inlineStr">
        <is>
          <t>Source / Remarks</t>
        </is>
      </c>
    </row>
    <row r="5" ht="13.5" customHeight="1" s="66">
      <c r="A5" s="83" t="n">
        <v>1</v>
      </c>
      <c r="B5" s="84" t="inlineStr">
        <is>
          <t>Inj. Anawin Heavy</t>
        </is>
      </c>
      <c r="C5" s="84" t="inlineStr">
        <is>
          <t>Bupivacaine Heavy</t>
        </is>
      </c>
      <c r="D5" s="83" t="inlineStr">
        <is>
          <t>No.</t>
        </is>
      </c>
      <c r="E5" s="83" t="n">
        <v>1</v>
      </c>
      <c r="F5" s="85" t="n">
        <v>31.47</v>
      </c>
      <c r="G5" s="85" t="n">
        <v>31.47</v>
      </c>
      <c r="H5" s="85" t="n">
        <v>24.76</v>
      </c>
      <c r="I5" s="85" t="n">
        <v>24.76</v>
      </c>
      <c r="J5" s="84" t="inlineStr">
        <is>
          <t>SSB S000092</t>
        </is>
      </c>
    </row>
    <row r="6" ht="24" customHeight="1" s="66">
      <c r="A6" s="120" t="n">
        <v>2</v>
      </c>
      <c r="B6" s="121" t="inlineStr">
        <is>
          <t>Inj. Fentanyl 30mcg</t>
        </is>
      </c>
      <c r="C6" s="121" t="inlineStr">
        <is>
          <t>Fentanyl</t>
        </is>
      </c>
      <c r="D6" s="120" t="inlineStr">
        <is>
          <t>No.</t>
        </is>
      </c>
      <c r="E6" s="120" t="n">
        <v>1</v>
      </c>
      <c r="F6" s="122" t="n">
        <v>200</v>
      </c>
      <c r="G6" s="122" t="n">
        <v>200</v>
      </c>
      <c r="H6" s="122" t="n">
        <v>140</v>
      </c>
      <c r="I6" s="122" t="n">
        <v>140</v>
      </c>
      <c r="J6" s="121" t="inlineStr">
        <is>
          <t>⚠ Est. — Market rate | Cost = 30% below MRP</t>
        </is>
      </c>
    </row>
    <row r="7" ht="13.5" customHeight="1" s="66">
      <c r="A7" s="83" t="n">
        <v>3</v>
      </c>
      <c r="B7" s="84" t="inlineStr">
        <is>
          <t>Inj. Pause 500mg</t>
        </is>
      </c>
      <c r="C7" s="84" t="inlineStr">
        <is>
          <t>Tranexamic Acid</t>
        </is>
      </c>
      <c r="D7" s="83" t="inlineStr">
        <is>
          <t>No.</t>
        </is>
      </c>
      <c r="E7" s="83" t="n">
        <v>2</v>
      </c>
      <c r="F7" s="85" t="n">
        <v>71.97</v>
      </c>
      <c r="G7" s="85" t="n">
        <v>143.94</v>
      </c>
      <c r="H7" s="85" t="n">
        <v>47.62</v>
      </c>
      <c r="I7" s="85" t="n">
        <v>95.23999999999999</v>
      </c>
      <c r="J7" s="84" t="inlineStr">
        <is>
          <t>SSB S000092</t>
        </is>
      </c>
    </row>
    <row r="8" ht="13.5" customHeight="1" s="66">
      <c r="A8" s="89" t="n">
        <v>4</v>
      </c>
      <c r="B8" s="90" t="inlineStr">
        <is>
          <t>Inj. Campuse 2acs</t>
        </is>
      </c>
      <c r="C8" s="90" t="inlineStr">
        <is>
          <t>Unknown</t>
        </is>
      </c>
      <c r="D8" s="89" t="inlineStr">
        <is>
          <t>No.</t>
        </is>
      </c>
      <c r="E8" s="89" t="n">
        <v>1</v>
      </c>
      <c r="F8" s="91" t="inlineStr">
        <is>
          <t>⚠</t>
        </is>
      </c>
      <c r="G8" s="91" t="inlineStr">
        <is>
          <t>⚠</t>
        </is>
      </c>
      <c r="H8" s="91" t="inlineStr">
        <is>
          <t>⚠</t>
        </is>
      </c>
      <c r="I8" s="91" t="inlineStr">
        <is>
          <t>⚠</t>
        </is>
      </c>
      <c r="J8" s="90" t="inlineStr">
        <is>
          <t>⚠ MRP NOT FOUND — fill in manually</t>
        </is>
      </c>
    </row>
    <row r="9" ht="13.5" customHeight="1" s="66">
      <c r="A9" s="83" t="n">
        <v>5</v>
      </c>
      <c r="B9" s="84" t="inlineStr">
        <is>
          <t>Inj. Termin 30mg</t>
        </is>
      </c>
      <c r="C9" s="84" t="inlineStr">
        <is>
          <t>Terbutaline</t>
        </is>
      </c>
      <c r="D9" s="83" t="inlineStr">
        <is>
          <t>No.</t>
        </is>
      </c>
      <c r="E9" s="83" t="n">
        <v>1</v>
      </c>
      <c r="F9" s="85" t="n">
        <v>390.4</v>
      </c>
      <c r="G9" s="85" t="n">
        <v>390.4</v>
      </c>
      <c r="H9" s="85" t="n">
        <v>304.76</v>
      </c>
      <c r="I9" s="85" t="n">
        <v>304.76</v>
      </c>
      <c r="J9" s="84" t="inlineStr">
        <is>
          <t>SSB S000092</t>
        </is>
      </c>
    </row>
    <row r="10" ht="13.5" customHeight="1" s="66">
      <c r="A10" s="86" t="n">
        <v>6</v>
      </c>
      <c r="B10" s="87" t="inlineStr">
        <is>
          <t>Inj. Lox 2% / 30ml</t>
        </is>
      </c>
      <c r="C10" s="87" t="inlineStr">
        <is>
          <t>Lignocaine</t>
        </is>
      </c>
      <c r="D10" s="86" t="inlineStr">
        <is>
          <t>No.</t>
        </is>
      </c>
      <c r="E10" s="86" t="n">
        <v>1</v>
      </c>
      <c r="F10" s="88" t="n">
        <v>37.95</v>
      </c>
      <c r="G10" s="88" t="n">
        <v>37.95</v>
      </c>
      <c r="H10" s="88" t="n">
        <v>27</v>
      </c>
      <c r="I10" s="88" t="n">
        <v>27</v>
      </c>
      <c r="J10" s="87" t="inlineStr">
        <is>
          <t>Vivek F-748</t>
        </is>
      </c>
    </row>
    <row r="11" ht="13.5" customHeight="1" s="66">
      <c r="A11" s="83" t="n">
        <v>7</v>
      </c>
      <c r="B11" s="84" t="inlineStr">
        <is>
          <t>Inj. Mezolam 5mg</t>
        </is>
      </c>
      <c r="C11" s="84" t="inlineStr">
        <is>
          <t>Midazolam</t>
        </is>
      </c>
      <c r="D11" s="83" t="inlineStr">
        <is>
          <t>No.</t>
        </is>
      </c>
      <c r="E11" s="83" t="n">
        <v>1</v>
      </c>
      <c r="F11" s="85" t="n">
        <v>31.03</v>
      </c>
      <c r="G11" s="85" t="n">
        <v>31.03</v>
      </c>
      <c r="H11" s="85" t="n">
        <v>23.81</v>
      </c>
      <c r="I11" s="85" t="n">
        <v>23.81</v>
      </c>
      <c r="J11" s="84" t="inlineStr">
        <is>
          <t>SSB S000092</t>
        </is>
      </c>
    </row>
    <row r="12" ht="13.5" customHeight="1" s="66">
      <c r="A12" s="120" t="n">
        <v>8</v>
      </c>
      <c r="B12" s="121" t="inlineStr">
        <is>
          <t>Inj. Dynoperton 75mg</t>
        </is>
      </c>
      <c r="C12" s="121" t="inlineStr">
        <is>
          <t>Diclofenac</t>
        </is>
      </c>
      <c r="D12" s="120" t="inlineStr">
        <is>
          <t>No.</t>
        </is>
      </c>
      <c r="E12" s="120" t="n">
        <v>1</v>
      </c>
      <c r="F12" s="122" t="n">
        <v>23.8</v>
      </c>
      <c r="G12" s="122" t="n">
        <v>23.8</v>
      </c>
      <c r="H12" s="122" t="n">
        <v>8.57</v>
      </c>
      <c r="I12" s="122" t="n">
        <v>8.57</v>
      </c>
      <c r="J12" s="121" t="inlineStr">
        <is>
          <t>⚠ Est. — Justin AQ proxy | Cost = 30% below MRP</t>
        </is>
      </c>
    </row>
    <row r="13" ht="13.5" customHeight="1" s="66">
      <c r="A13" s="117" t="n">
        <v>9</v>
      </c>
      <c r="B13" s="118" t="inlineStr">
        <is>
          <t>Inj. Carbetocin 100mcg</t>
        </is>
      </c>
      <c r="C13" s="118" t="inlineStr">
        <is>
          <t>Carbetocin</t>
        </is>
      </c>
      <c r="D13" s="117" t="inlineStr">
        <is>
          <t>No.</t>
        </is>
      </c>
      <c r="E13" s="117" t="n">
        <v>1</v>
      </c>
      <c r="F13" s="119" t="n">
        <v>489.7</v>
      </c>
      <c r="G13" s="119" t="n">
        <v>489.7</v>
      </c>
      <c r="H13" s="119" t="n">
        <v>342.79</v>
      </c>
      <c r="I13" s="119" t="n">
        <v>342.79</v>
      </c>
      <c r="J13" s="118" t="inlineStr">
        <is>
          <t>⚠ Est. — Market rate | Cost = 30% below MRP</t>
        </is>
      </c>
    </row>
    <row r="14" ht="13.5" customHeight="1" s="66">
      <c r="A14" s="86" t="n">
        <v>10</v>
      </c>
      <c r="B14" s="87" t="inlineStr">
        <is>
          <t>Inj. Oxytocine 4IU</t>
        </is>
      </c>
      <c r="C14" s="87" t="inlineStr">
        <is>
          <t>Oxytocin</t>
        </is>
      </c>
      <c r="D14" s="86" t="inlineStr">
        <is>
          <t>No.</t>
        </is>
      </c>
      <c r="E14" s="86" t="n">
        <v>1</v>
      </c>
      <c r="F14" s="88" t="n">
        <v>19.03</v>
      </c>
      <c r="G14" s="88" t="n">
        <v>19.03</v>
      </c>
      <c r="H14" s="88" t="n">
        <v>12.57</v>
      </c>
      <c r="I14" s="88" t="n">
        <v>12.57</v>
      </c>
      <c r="J14" s="87" t="inlineStr">
        <is>
          <t>SSB S000068</t>
        </is>
      </c>
    </row>
    <row r="15" ht="13.5" customHeight="1" s="66">
      <c r="A15" s="83" t="n">
        <v>11</v>
      </c>
      <c r="B15" s="84" t="inlineStr">
        <is>
          <t>Inj. K-Nat</t>
        </is>
      </c>
      <c r="C15" s="84" t="inlineStr">
        <is>
          <t>Potassium</t>
        </is>
      </c>
      <c r="D15" s="83" t="inlineStr">
        <is>
          <t>No.</t>
        </is>
      </c>
      <c r="E15" s="83" t="n">
        <v>1</v>
      </c>
      <c r="F15" s="85" t="n">
        <v>54</v>
      </c>
      <c r="G15" s="85" t="n">
        <v>54</v>
      </c>
      <c r="H15" s="85" t="n">
        <v>38.1</v>
      </c>
      <c r="I15" s="85" t="n">
        <v>38.1</v>
      </c>
      <c r="J15" s="84" t="inlineStr">
        <is>
          <t>SSB S000068</t>
        </is>
      </c>
    </row>
    <row r="16" ht="13.5" customHeight="1" s="66">
      <c r="A16" s="120" t="n">
        <v>12</v>
      </c>
      <c r="B16" s="121" t="inlineStr">
        <is>
          <t>Inj. Jonac 100</t>
        </is>
      </c>
      <c r="C16" s="121" t="inlineStr">
        <is>
          <t>Diclofenac 100mg</t>
        </is>
      </c>
      <c r="D16" s="120" t="inlineStr">
        <is>
          <t>No.</t>
        </is>
      </c>
      <c r="E16" s="120" t="n">
        <v>1</v>
      </c>
      <c r="F16" s="122" t="n">
        <v>23.8</v>
      </c>
      <c r="G16" s="122" t="n">
        <v>23.8</v>
      </c>
      <c r="H16" s="122" t="n">
        <v>8.57</v>
      </c>
      <c r="I16" s="122" t="n">
        <v>8.57</v>
      </c>
      <c r="J16" s="121" t="inlineStr">
        <is>
          <t>⚠ Est. — Justin AQ proxy | Cost = 30% below MRP</t>
        </is>
      </c>
    </row>
    <row r="17" ht="13.5" customHeight="1" s="66">
      <c r="A17" s="83" t="n">
        <v>13</v>
      </c>
      <c r="B17" s="84" t="inlineStr">
        <is>
          <t>Inj. Misobost 200mcg</t>
        </is>
      </c>
      <c r="C17" s="84" t="inlineStr">
        <is>
          <t>Misoprostol</t>
        </is>
      </c>
      <c r="D17" s="83" t="inlineStr">
        <is>
          <t>No.</t>
        </is>
      </c>
      <c r="E17" s="83" t="n">
        <v>3</v>
      </c>
      <c r="F17" s="85" t="n">
        <v>79.5</v>
      </c>
      <c r="G17" s="85" t="n">
        <v>238.5</v>
      </c>
      <c r="H17" s="85" t="n">
        <v>59.53</v>
      </c>
      <c r="I17" s="85" t="n">
        <v>178.59</v>
      </c>
      <c r="J17" s="84" t="inlineStr">
        <is>
          <t>SSB S000197</t>
        </is>
      </c>
    </row>
    <row r="18" ht="13.5" customHeight="1" s="66">
      <c r="A18" s="86" t="n">
        <v>14</v>
      </c>
      <c r="B18" s="87" t="inlineStr">
        <is>
          <t>Inj. T-Bact</t>
        </is>
      </c>
      <c r="C18" s="87" t="inlineStr">
        <is>
          <t>T-Bact Oint</t>
        </is>
      </c>
      <c r="D18" s="86" t="inlineStr">
        <is>
          <t>No.</t>
        </is>
      </c>
      <c r="E18" s="86" t="n">
        <v>1</v>
      </c>
      <c r="F18" s="88" t="n">
        <v>325.08</v>
      </c>
      <c r="G18" s="88" t="n">
        <v>325.08</v>
      </c>
      <c r="H18" s="88" t="n">
        <v>247.68</v>
      </c>
      <c r="I18" s="88" t="n">
        <v>247.68</v>
      </c>
      <c r="J18" s="87" t="inlineStr">
        <is>
          <t>SSB S000069</t>
        </is>
      </c>
    </row>
    <row r="19" ht="13.5" customHeight="1" s="66">
      <c r="A19" s="83" t="n">
        <v>15</v>
      </c>
      <c r="B19" s="84" t="inlineStr">
        <is>
          <t>Spinocan (26G)</t>
        </is>
      </c>
      <c r="C19" s="84" t="inlineStr">
        <is>
          <t>Spinal needle</t>
        </is>
      </c>
      <c r="D19" s="83" t="inlineStr">
        <is>
          <t>No.</t>
        </is>
      </c>
      <c r="E19" s="83" t="n">
        <v>1</v>
      </c>
      <c r="F19" s="85" t="n">
        <v>153</v>
      </c>
      <c r="G19" s="85" t="n">
        <v>153</v>
      </c>
      <c r="H19" s="85" t="n">
        <v>74.29000000000001</v>
      </c>
      <c r="I19" s="85" t="n">
        <v>74.29000000000001</v>
      </c>
      <c r="J19" s="84" t="inlineStr">
        <is>
          <t>SSB S000068</t>
        </is>
      </c>
    </row>
    <row r="20" ht="13.5" customHeight="1" s="66">
      <c r="A20" s="86" t="n">
        <v>16</v>
      </c>
      <c r="B20" s="87" t="inlineStr">
        <is>
          <t>Surgical Gloves 7.0</t>
        </is>
      </c>
      <c r="C20" s="87" t="inlineStr">
        <is>
          <t>Sterile gloves</t>
        </is>
      </c>
      <c r="D20" s="86" t="inlineStr">
        <is>
          <t>No.</t>
        </is>
      </c>
      <c r="E20" s="86" t="n">
        <v>5</v>
      </c>
      <c r="F20" s="88" t="n">
        <v>91</v>
      </c>
      <c r="G20" s="88" t="n">
        <v>455</v>
      </c>
      <c r="H20" s="88" t="n">
        <v>19.06</v>
      </c>
      <c r="I20" s="88" t="n">
        <v>95.3</v>
      </c>
      <c r="J20" s="87" t="inlineStr">
        <is>
          <t>Vivek F-747</t>
        </is>
      </c>
    </row>
    <row r="21" ht="13.5" customHeight="1" s="66">
      <c r="A21" s="83" t="n">
        <v>17</v>
      </c>
      <c r="B21" s="84" t="inlineStr">
        <is>
          <t>Surgicare Gloves 6.5</t>
        </is>
      </c>
      <c r="C21" s="84" t="inlineStr">
        <is>
          <t>Sterile gloves</t>
        </is>
      </c>
      <c r="D21" s="83" t="inlineStr">
        <is>
          <t>No.</t>
        </is>
      </c>
      <c r="E21" s="83" t="n">
        <v>2</v>
      </c>
      <c r="F21" s="85" t="n">
        <v>97</v>
      </c>
      <c r="G21" s="85" t="n">
        <v>194</v>
      </c>
      <c r="H21" s="85" t="n">
        <v>19.06</v>
      </c>
      <c r="I21" s="85" t="n">
        <v>38.12</v>
      </c>
      <c r="J21" s="84" t="inlineStr">
        <is>
          <t>Vivek F-748</t>
        </is>
      </c>
    </row>
    <row r="22" ht="13.5" customHeight="1" s="66">
      <c r="A22" s="89" t="n">
        <v>18</v>
      </c>
      <c r="B22" s="90" t="inlineStr">
        <is>
          <t>Plain Sheet</t>
        </is>
      </c>
      <c r="C22" s="90" t="inlineStr">
        <is>
          <t>Draping sheet</t>
        </is>
      </c>
      <c r="D22" s="89" t="inlineStr">
        <is>
          <t>No.</t>
        </is>
      </c>
      <c r="E22" s="89" t="n">
        <v>2</v>
      </c>
      <c r="F22" s="91" t="n">
        <v>200</v>
      </c>
      <c r="G22" s="91" t="n">
        <v>400</v>
      </c>
      <c r="H22" s="91" t="n">
        <v>65</v>
      </c>
      <c r="I22" s="91" t="n">
        <v>130</v>
      </c>
      <c r="J22" s="90" t="inlineStr">
        <is>
          <t>Filled from stock/rate card</t>
        </is>
      </c>
    </row>
    <row r="23" ht="13.5" customHeight="1" s="66">
      <c r="A23" s="83" t="n">
        <v>19</v>
      </c>
      <c r="B23" s="84" t="inlineStr">
        <is>
          <t>Nail Cath (10)</t>
        </is>
      </c>
      <c r="C23" s="84" t="inlineStr">
        <is>
          <t>Nail catheter</t>
        </is>
      </c>
      <c r="D23" s="83" t="inlineStr">
        <is>
          <t>No.</t>
        </is>
      </c>
      <c r="E23" s="83" t="n">
        <v>1</v>
      </c>
      <c r="F23" s="85" t="n">
        <v>60</v>
      </c>
      <c r="G23" s="85" t="n">
        <v>60</v>
      </c>
      <c r="H23" s="85" t="n">
        <v>11.43</v>
      </c>
      <c r="I23" s="85" t="n">
        <v>11.43</v>
      </c>
      <c r="J23" s="84" t="inlineStr">
        <is>
          <t>SSB S000069</t>
        </is>
      </c>
    </row>
    <row r="24" ht="13.5" customHeight="1" s="66">
      <c r="A24" s="86" t="n">
        <v>20</v>
      </c>
      <c r="B24" s="87" t="inlineStr">
        <is>
          <t>Feeding Tube (06)</t>
        </is>
      </c>
      <c r="C24" s="87" t="inlineStr">
        <is>
          <t>Feeding tube</t>
        </is>
      </c>
      <c r="D24" s="86" t="inlineStr">
        <is>
          <t>No.</t>
        </is>
      </c>
      <c r="E24" s="86" t="n">
        <v>1</v>
      </c>
      <c r="F24" s="88" t="n">
        <v>60</v>
      </c>
      <c r="G24" s="88" t="n">
        <v>60</v>
      </c>
      <c r="H24" s="88" t="n">
        <v>11.43</v>
      </c>
      <c r="I24" s="88" t="n">
        <v>11.43</v>
      </c>
      <c r="J24" s="87" t="inlineStr">
        <is>
          <t>SSB S000069</t>
        </is>
      </c>
    </row>
    <row r="25" ht="13.5" customHeight="1" s="66">
      <c r="A25" s="89" t="n">
        <v>21</v>
      </c>
      <c r="B25" s="90" t="inlineStr">
        <is>
          <t>Sanitary Pad</t>
        </is>
      </c>
      <c r="C25" s="90" t="inlineStr">
        <is>
          <t>Absorbent pad</t>
        </is>
      </c>
      <c r="D25" s="89" t="inlineStr">
        <is>
          <t>No.</t>
        </is>
      </c>
      <c r="E25" s="89" t="n">
        <v>1</v>
      </c>
      <c r="F25" s="91" t="n">
        <v>50</v>
      </c>
      <c r="G25" s="91" t="n">
        <v>50</v>
      </c>
      <c r="H25" s="91" t="inlineStr">
        <is>
          <t>⚠</t>
        </is>
      </c>
      <c r="I25" s="91" t="inlineStr">
        <is>
          <t>⚠</t>
        </is>
      </c>
      <c r="J25" s="90" t="inlineStr">
        <is>
          <t>Filled from stock/rate card</t>
        </is>
      </c>
    </row>
    <row r="26" ht="13.5" customHeight="1" s="66">
      <c r="A26" s="86" t="n">
        <v>22</v>
      </c>
      <c r="B26" s="87" t="inlineStr">
        <is>
          <t>Roll Bandage 6"</t>
        </is>
      </c>
      <c r="C26" s="87" t="inlineStr">
        <is>
          <t>Crepe bandage</t>
        </is>
      </c>
      <c r="D26" s="86" t="inlineStr">
        <is>
          <t>No.</t>
        </is>
      </c>
      <c r="E26" s="86" t="n">
        <v>1</v>
      </c>
      <c r="F26" s="88" t="n">
        <v>67.5</v>
      </c>
      <c r="G26" s="88" t="n">
        <v>67.5</v>
      </c>
      <c r="H26" s="88" t="n">
        <v>19.05</v>
      </c>
      <c r="I26" s="88" t="n">
        <v>19.05</v>
      </c>
      <c r="J26" s="87" t="inlineStr">
        <is>
          <t>SSB S000069</t>
        </is>
      </c>
    </row>
    <row r="27" ht="13.5" customHeight="1" s="66">
      <c r="A27" s="83" t="n">
        <v>23</v>
      </c>
      <c r="B27" s="84" t="inlineStr">
        <is>
          <t>Gauze</t>
        </is>
      </c>
      <c r="C27" s="84" t="inlineStr">
        <is>
          <t>Sterile</t>
        </is>
      </c>
      <c r="D27" s="83" t="inlineStr">
        <is>
          <t>No.</t>
        </is>
      </c>
      <c r="E27" s="83" t="n">
        <v>15</v>
      </c>
      <c r="F27" s="85" t="n">
        <v>14</v>
      </c>
      <c r="G27" s="85" t="n">
        <v>210</v>
      </c>
      <c r="H27" s="85" t="n">
        <v>5.46</v>
      </c>
      <c r="I27" s="85" t="n">
        <v>81.90000000000001</v>
      </c>
      <c r="J27" s="84" t="inlineStr">
        <is>
          <t>Vivek F-747</t>
        </is>
      </c>
    </row>
    <row r="28" ht="13.5" customHeight="1" s="66">
      <c r="A28" s="86" t="n">
        <v>24</v>
      </c>
      <c r="B28" s="87" t="inlineStr">
        <is>
          <t>Mop</t>
        </is>
      </c>
      <c r="C28" s="87" t="inlineStr">
        <is>
          <t>Sterile mop</t>
        </is>
      </c>
      <c r="D28" s="86" t="inlineStr">
        <is>
          <t>No.</t>
        </is>
      </c>
      <c r="E28" s="86" t="n">
        <v>4</v>
      </c>
      <c r="F28" s="88" t="n">
        <v>165</v>
      </c>
      <c r="G28" s="88" t="n">
        <v>660</v>
      </c>
      <c r="H28" s="88" t="n">
        <v>55</v>
      </c>
      <c r="I28" s="88" t="n">
        <v>220</v>
      </c>
      <c r="J28" s="87" t="inlineStr">
        <is>
          <t>CLD 3x</t>
        </is>
      </c>
    </row>
    <row r="29" ht="13.5" customHeight="1" s="66">
      <c r="A29" s="83" t="n">
        <v>25</v>
      </c>
      <c r="B29" s="84" t="inlineStr">
        <is>
          <t>Diathermy Pencil</t>
        </is>
      </c>
      <c r="C29" s="84" t="inlineStr">
        <is>
          <t>OT pencil</t>
        </is>
      </c>
      <c r="D29" s="83" t="inlineStr">
        <is>
          <t>No.</t>
        </is>
      </c>
      <c r="E29" s="83" t="n">
        <v>1</v>
      </c>
      <c r="F29" s="85" t="n">
        <v>390</v>
      </c>
      <c r="G29" s="85" t="n">
        <v>390</v>
      </c>
      <c r="H29" s="85" t="n">
        <v>130</v>
      </c>
      <c r="I29" s="85" t="n">
        <v>130</v>
      </c>
      <c r="J29" s="84" t="inlineStr">
        <is>
          <t>CLD 3x</t>
        </is>
      </c>
    </row>
    <row r="30" ht="13.5" customHeight="1" s="66">
      <c r="A30" s="89" t="n">
        <v>26</v>
      </c>
      <c r="B30" s="90" t="inlineStr">
        <is>
          <t>Vacuum Suck</t>
        </is>
      </c>
      <c r="C30" s="90" t="inlineStr">
        <is>
          <t>Vacuum suction</t>
        </is>
      </c>
      <c r="D30" s="89" t="inlineStr">
        <is>
          <t>No.</t>
        </is>
      </c>
      <c r="E30" s="89" t="n">
        <v>1</v>
      </c>
      <c r="F30" s="91" t="n">
        <v>609</v>
      </c>
      <c r="G30" s="91" t="n">
        <v>609</v>
      </c>
      <c r="H30" s="91" t="n">
        <v>64</v>
      </c>
      <c r="I30" s="91" t="n">
        <v>64</v>
      </c>
      <c r="J30" s="90" t="inlineStr">
        <is>
          <t>Filled from stock/rate card</t>
        </is>
      </c>
    </row>
    <row r="31" ht="13.5" customHeight="1" s="66">
      <c r="A31" s="83" t="n">
        <v>27</v>
      </c>
      <c r="B31" s="84" t="inlineStr">
        <is>
          <t>AbGel</t>
        </is>
      </c>
      <c r="C31" s="84" t="inlineStr">
        <is>
          <t>Gelatin sponge</t>
        </is>
      </c>
      <c r="D31" s="83" t="inlineStr">
        <is>
          <t>No.</t>
        </is>
      </c>
      <c r="E31" s="83" t="n">
        <v>1</v>
      </c>
      <c r="F31" s="85" t="n">
        <v>302</v>
      </c>
      <c r="G31" s="85" t="n">
        <v>302</v>
      </c>
      <c r="H31" s="85" t="n">
        <v>188.57</v>
      </c>
      <c r="I31" s="85" t="n">
        <v>188.57</v>
      </c>
      <c r="J31" s="84" t="inlineStr">
        <is>
          <t>SSB S000069</t>
        </is>
      </c>
    </row>
    <row r="32" ht="13.5" customHeight="1" s="66">
      <c r="A32" s="86" t="n">
        <v>28</v>
      </c>
      <c r="B32" s="87" t="inlineStr">
        <is>
          <t>HS 2346D</t>
        </is>
      </c>
      <c r="C32" s="87" t="inlineStr">
        <is>
          <t>Suture</t>
        </is>
      </c>
      <c r="D32" s="86" t="inlineStr">
        <is>
          <t>No.</t>
        </is>
      </c>
      <c r="E32" s="86" t="n">
        <v>1</v>
      </c>
      <c r="F32" s="88" t="n">
        <v>585.9400000000001</v>
      </c>
      <c r="G32" s="88" t="n">
        <v>585.9400000000001</v>
      </c>
      <c r="H32" s="88" t="n">
        <v>123.81</v>
      </c>
      <c r="I32" s="88" t="n">
        <v>123.81</v>
      </c>
      <c r="J32" s="87" t="inlineStr">
        <is>
          <t>SSB S000135</t>
        </is>
      </c>
    </row>
    <row r="33" ht="13.5" customHeight="1" s="66">
      <c r="A33" s="89" t="n">
        <v>29</v>
      </c>
      <c r="B33" s="90" t="inlineStr">
        <is>
          <t>W9932</t>
        </is>
      </c>
      <c r="C33" s="90" t="inlineStr">
        <is>
          <t>Unknown suture</t>
        </is>
      </c>
      <c r="D33" s="89" t="inlineStr">
        <is>
          <t>No.</t>
        </is>
      </c>
      <c r="E33" s="89" t="n">
        <v>1</v>
      </c>
      <c r="F33" s="91" t="inlineStr">
        <is>
          <t>⚠</t>
        </is>
      </c>
      <c r="G33" s="91" t="inlineStr">
        <is>
          <t>⚠</t>
        </is>
      </c>
      <c r="H33" s="91" t="inlineStr">
        <is>
          <t>⚠</t>
        </is>
      </c>
      <c r="I33" s="91" t="inlineStr">
        <is>
          <t>⚠</t>
        </is>
      </c>
      <c r="J33" s="90" t="inlineStr">
        <is>
          <t>⚠ MRP NOT FOUND — fill in manually</t>
        </is>
      </c>
    </row>
    <row r="34" ht="13.5" customHeight="1" s="66">
      <c r="A34" s="89" t="n">
        <v>30</v>
      </c>
      <c r="B34" s="90" t="inlineStr">
        <is>
          <t>Cord Clamp</t>
        </is>
      </c>
      <c r="C34" s="90" t="n"/>
      <c r="D34" s="89" t="inlineStr">
        <is>
          <t>No.</t>
        </is>
      </c>
      <c r="E34" s="89" t="n">
        <v>1</v>
      </c>
      <c r="F34" s="91" t="n">
        <v>42</v>
      </c>
      <c r="G34" s="91" t="n">
        <v>42</v>
      </c>
      <c r="H34" s="91" t="inlineStr">
        <is>
          <t>⚠</t>
        </is>
      </c>
      <c r="I34" s="91" t="inlineStr">
        <is>
          <t>⚠</t>
        </is>
      </c>
      <c r="J34" s="90" t="inlineStr">
        <is>
          <t>MRP filled; cost ⚠</t>
        </is>
      </c>
    </row>
    <row r="35" ht="13.5" customHeight="1" s="66">
      <c r="A35" s="117" t="n">
        <v>31</v>
      </c>
      <c r="B35" s="118" t="inlineStr">
        <is>
          <t>Moli Sheet</t>
        </is>
      </c>
      <c r="C35" s="118" t="inlineStr">
        <is>
          <t>Absorbent sheet</t>
        </is>
      </c>
      <c r="D35" s="117" t="inlineStr">
        <is>
          <t>No.</t>
        </is>
      </c>
      <c r="E35" s="117" t="n">
        <v>1</v>
      </c>
      <c r="F35" s="119" t="n">
        <v>150</v>
      </c>
      <c r="G35" s="119" t="n">
        <v>150</v>
      </c>
      <c r="H35" s="119" t="n">
        <v>105</v>
      </c>
      <c r="I35" s="119" t="n">
        <v>105</v>
      </c>
      <c r="J35" s="118" t="inlineStr">
        <is>
          <t>⚠ Est. — Stock reg est. | Cost = 30% below MRP</t>
        </is>
      </c>
    </row>
    <row r="36" ht="13.5" customHeight="1" s="66">
      <c r="A36" s="89" t="n">
        <v>32</v>
      </c>
      <c r="B36" s="90" t="inlineStr">
        <is>
          <t>Blade No. 10</t>
        </is>
      </c>
      <c r="C36" s="90" t="inlineStr">
        <is>
          <t>Surgical blade</t>
        </is>
      </c>
      <c r="D36" s="89" t="inlineStr">
        <is>
          <t>No.</t>
        </is>
      </c>
      <c r="E36" s="89" t="n">
        <v>1</v>
      </c>
      <c r="F36" s="91" t="n">
        <v>7.5</v>
      </c>
      <c r="G36" s="91" t="n">
        <v>7.5</v>
      </c>
      <c r="H36" s="91" t="inlineStr">
        <is>
          <t>⚠</t>
        </is>
      </c>
      <c r="I36" s="91" t="inlineStr">
        <is>
          <t>⚠</t>
        </is>
      </c>
      <c r="J36" s="90" t="inlineStr">
        <is>
          <t>Filled from stock/rate card</t>
        </is>
      </c>
    </row>
    <row r="37" ht="13.5" customHeight="1" s="66">
      <c r="A37" s="89" t="n">
        <v>33</v>
      </c>
      <c r="B37" s="90" t="inlineStr">
        <is>
          <t>Blade No. 20</t>
        </is>
      </c>
      <c r="C37" s="90" t="inlineStr">
        <is>
          <t>Surgical blade</t>
        </is>
      </c>
      <c r="D37" s="89" t="inlineStr">
        <is>
          <t>No.</t>
        </is>
      </c>
      <c r="E37" s="89" t="n">
        <v>1</v>
      </c>
      <c r="F37" s="91" t="n">
        <v>7.1</v>
      </c>
      <c r="G37" s="91" t="n">
        <v>7.1</v>
      </c>
      <c r="H37" s="91" t="inlineStr">
        <is>
          <t>⚠</t>
        </is>
      </c>
      <c r="I37" s="91" t="inlineStr">
        <is>
          <t>⚠</t>
        </is>
      </c>
      <c r="J37" s="90" t="inlineStr">
        <is>
          <t>Filled from stock/rate card</t>
        </is>
      </c>
    </row>
    <row r="38" ht="13.5" customHeight="1" s="66">
      <c r="A38" s="86" t="n">
        <v>34</v>
      </c>
      <c r="B38" s="87" t="inlineStr">
        <is>
          <t>Syringe 10ml</t>
        </is>
      </c>
      <c r="C38" s="87" t="n"/>
      <c r="D38" s="86" t="inlineStr">
        <is>
          <t>No.</t>
        </is>
      </c>
      <c r="E38" s="86" t="n">
        <v>3</v>
      </c>
      <c r="F38" s="88" t="n">
        <v>20</v>
      </c>
      <c r="G38" s="88" t="n">
        <v>60</v>
      </c>
      <c r="H38" s="88" t="n">
        <v>3.76</v>
      </c>
      <c r="I38" s="88" t="n">
        <v>11.28</v>
      </c>
      <c r="J38" s="87" t="inlineStr">
        <is>
          <t>SSB S000069</t>
        </is>
      </c>
    </row>
    <row r="39" ht="13.5" customHeight="1" s="66">
      <c r="A39" s="83" t="n">
        <v>35</v>
      </c>
      <c r="B39" s="84" t="inlineStr">
        <is>
          <t>Syringe 5cc</t>
        </is>
      </c>
      <c r="C39" s="84" t="n"/>
      <c r="D39" s="83" t="inlineStr">
        <is>
          <t>No.</t>
        </is>
      </c>
      <c r="E39" s="83" t="n">
        <v>3</v>
      </c>
      <c r="F39" s="85" t="n">
        <v>10.23</v>
      </c>
      <c r="G39" s="85" t="n">
        <v>30.69</v>
      </c>
      <c r="H39" s="85" t="n">
        <v>2.38</v>
      </c>
      <c r="I39" s="85" t="n">
        <v>7.14</v>
      </c>
      <c r="J39" s="84" t="inlineStr">
        <is>
          <t>SSB S000069</t>
        </is>
      </c>
    </row>
    <row r="40" ht="13.5" customHeight="1" s="66">
      <c r="A40" s="86" t="n">
        <v>36</v>
      </c>
      <c r="B40" s="87" t="inlineStr">
        <is>
          <t>Syringe 2cc</t>
        </is>
      </c>
      <c r="C40" s="87" t="n"/>
      <c r="D40" s="86" t="inlineStr">
        <is>
          <t>No.</t>
        </is>
      </c>
      <c r="E40" s="86" t="n">
        <v>1</v>
      </c>
      <c r="F40" s="88" t="n">
        <v>6.04</v>
      </c>
      <c r="G40" s="88" t="n">
        <v>6.04</v>
      </c>
      <c r="H40" s="88" t="n">
        <v>1.9</v>
      </c>
      <c r="I40" s="88" t="n">
        <v>1.9</v>
      </c>
      <c r="J40" s="87" t="inlineStr">
        <is>
          <t>SSB S000069</t>
        </is>
      </c>
    </row>
    <row r="41" ht="13.5" customHeight="1" s="66">
      <c r="A41" s="83" t="n">
        <v>37</v>
      </c>
      <c r="B41" s="84" t="inlineStr">
        <is>
          <t>Inj. Xone 1gm</t>
        </is>
      </c>
      <c r="C41" s="84" t="inlineStr">
        <is>
          <t>Ceftriaxone</t>
        </is>
      </c>
      <c r="D41" s="83" t="inlineStr">
        <is>
          <t>No.</t>
        </is>
      </c>
      <c r="E41" s="83" t="n">
        <v>3</v>
      </c>
      <c r="F41" s="85" t="n">
        <v>66.64</v>
      </c>
      <c r="G41" s="85" t="n">
        <v>199.92</v>
      </c>
      <c r="H41" s="85" t="n">
        <v>25.71</v>
      </c>
      <c r="I41" s="85" t="n">
        <v>77.13</v>
      </c>
      <c r="J41" s="84" t="inlineStr">
        <is>
          <t>SSB S000068</t>
        </is>
      </c>
    </row>
    <row r="42" ht="13.5" customHeight="1" s="66">
      <c r="A42" s="86" t="n">
        <v>38</v>
      </c>
      <c r="B42" s="87" t="inlineStr">
        <is>
          <t>Inj. Metrogyle 100ml</t>
        </is>
      </c>
      <c r="C42" s="87" t="inlineStr">
        <is>
          <t>Metronidazole IV</t>
        </is>
      </c>
      <c r="D42" s="86" t="inlineStr">
        <is>
          <t>No.</t>
        </is>
      </c>
      <c r="E42" s="86" t="n">
        <v>4</v>
      </c>
      <c r="F42" s="88" t="n">
        <v>22.05</v>
      </c>
      <c r="G42" s="88" t="n">
        <v>88.2</v>
      </c>
      <c r="H42" s="88" t="n">
        <v>16.19</v>
      </c>
      <c r="I42" s="88" t="n">
        <v>64.76000000000001</v>
      </c>
      <c r="J42" s="87" t="inlineStr">
        <is>
          <t>SSB S000068</t>
        </is>
      </c>
    </row>
    <row r="43" ht="13.5" customHeight="1" s="66">
      <c r="A43" s="117" t="n">
        <v>39</v>
      </c>
      <c r="B43" s="118" t="inlineStr">
        <is>
          <t>Inj. PCM 1000ml</t>
        </is>
      </c>
      <c r="C43" s="118" t="inlineStr">
        <is>
          <t>Paracetamol IV</t>
        </is>
      </c>
      <c r="D43" s="117" t="inlineStr">
        <is>
          <t>No.</t>
        </is>
      </c>
      <c r="E43" s="117" t="n">
        <v>3</v>
      </c>
      <c r="F43" s="119" t="n">
        <v>501.15</v>
      </c>
      <c r="G43" s="119" t="n">
        <v>1503.45</v>
      </c>
      <c r="H43" s="119" t="n">
        <v>350.81</v>
      </c>
      <c r="I43" s="119" t="n">
        <v>1052.43</v>
      </c>
      <c r="J43" s="118" t="inlineStr">
        <is>
          <t>⚠ Est. — PCM 100ml proxy | Cost = 30% below MRP</t>
        </is>
      </c>
    </row>
    <row r="44" ht="13.5" customHeight="1" s="66">
      <c r="A44" s="120" t="n">
        <v>40</v>
      </c>
      <c r="B44" s="121" t="inlineStr">
        <is>
          <t>Inj. Dynapan AQ</t>
        </is>
      </c>
      <c r="C44" s="121" t="inlineStr">
        <is>
          <t>Diclofenac</t>
        </is>
      </c>
      <c r="D44" s="120" t="inlineStr">
        <is>
          <t>No.</t>
        </is>
      </c>
      <c r="E44" s="120" t="n">
        <v>3</v>
      </c>
      <c r="F44" s="122" t="n">
        <v>23.8</v>
      </c>
      <c r="G44" s="122" t="n">
        <v>71.40000000000001</v>
      </c>
      <c r="H44" s="122" t="n">
        <v>8.57</v>
      </c>
      <c r="I44" s="122" t="n">
        <v>25.71</v>
      </c>
      <c r="J44" s="121" t="inlineStr">
        <is>
          <t>⚠ Est. — Justin AQ proxy | Cost = 30% below MRP</t>
        </is>
      </c>
    </row>
    <row r="45" ht="13.5" customHeight="1" s="66">
      <c r="A45" s="83" t="n">
        <v>41</v>
      </c>
      <c r="B45" s="84" t="inlineStr">
        <is>
          <t>Inj. Rantac</t>
        </is>
      </c>
      <c r="C45" s="84" t="inlineStr">
        <is>
          <t>Ranitidine</t>
        </is>
      </c>
      <c r="D45" s="83" t="inlineStr">
        <is>
          <t>No.</t>
        </is>
      </c>
      <c r="E45" s="83" t="n">
        <v>3</v>
      </c>
      <c r="F45" s="85" t="n">
        <v>7.48</v>
      </c>
      <c r="G45" s="85" t="n">
        <v>22.44</v>
      </c>
      <c r="H45" s="85" t="n">
        <v>4.29</v>
      </c>
      <c r="I45" s="85" t="n">
        <v>12.87</v>
      </c>
      <c r="J45" s="84" t="inlineStr">
        <is>
          <t>SSB S000068</t>
        </is>
      </c>
    </row>
    <row r="46" ht="13.5" customHeight="1" s="66">
      <c r="A46" s="86" t="n">
        <v>42</v>
      </c>
      <c r="B46" s="87" t="inlineStr">
        <is>
          <t>Inj. Ondem</t>
        </is>
      </c>
      <c r="C46" s="87" t="inlineStr">
        <is>
          <t>Ondansetron</t>
        </is>
      </c>
      <c r="D46" s="86" t="inlineStr">
        <is>
          <t>No.</t>
        </is>
      </c>
      <c r="E46" s="86" t="n">
        <v>3</v>
      </c>
      <c r="F46" s="88" t="n">
        <v>12.72</v>
      </c>
      <c r="G46" s="88" t="n">
        <v>38.16</v>
      </c>
      <c r="H46" s="88" t="n">
        <v>4.85</v>
      </c>
      <c r="I46" s="88" t="n">
        <v>14.55</v>
      </c>
      <c r="J46" s="87" t="inlineStr">
        <is>
          <t>SSB S000068</t>
        </is>
      </c>
    </row>
    <row r="47" ht="13.5" customHeight="1" s="66">
      <c r="A47" s="83" t="n">
        <v>43</v>
      </c>
      <c r="B47" s="84" t="inlineStr">
        <is>
          <t>Inj. Oxytocin</t>
        </is>
      </c>
      <c r="C47" s="84" t="n"/>
      <c r="D47" s="83" t="inlineStr">
        <is>
          <t>No.</t>
        </is>
      </c>
      <c r="E47" s="83" t="n">
        <v>1</v>
      </c>
      <c r="F47" s="85" t="n">
        <v>19.03</v>
      </c>
      <c r="G47" s="85" t="n">
        <v>19.03</v>
      </c>
      <c r="H47" s="85" t="n">
        <v>12.57</v>
      </c>
      <c r="I47" s="85" t="n">
        <v>12.57</v>
      </c>
      <c r="J47" s="84" t="inlineStr">
        <is>
          <t>SSB S000068</t>
        </is>
      </c>
    </row>
    <row r="48" ht="13.5" customHeight="1" s="66">
      <c r="A48" s="86" t="n">
        <v>44</v>
      </c>
      <c r="B48" s="87" t="inlineStr">
        <is>
          <t>Inj. Reglan</t>
        </is>
      </c>
      <c r="C48" s="87" t="inlineStr">
        <is>
          <t>Metoclopramide</t>
        </is>
      </c>
      <c r="D48" s="86" t="inlineStr">
        <is>
          <t>No.</t>
        </is>
      </c>
      <c r="E48" s="86" t="n">
        <v>1</v>
      </c>
      <c r="F48" s="88" t="n">
        <v>17.04</v>
      </c>
      <c r="G48" s="88" t="n">
        <v>17.04</v>
      </c>
      <c r="H48" s="88" t="n">
        <v>13.26</v>
      </c>
      <c r="I48" s="88" t="n">
        <v>13.26</v>
      </c>
      <c r="J48" s="87" t="inlineStr">
        <is>
          <t>SSB S000068</t>
        </is>
      </c>
    </row>
    <row r="49" ht="13.5" customHeight="1" s="66">
      <c r="A49" s="83" t="n">
        <v>45</v>
      </c>
      <c r="B49" s="84" t="inlineStr">
        <is>
          <t>IV Set</t>
        </is>
      </c>
      <c r="C49" s="84" t="n"/>
      <c r="D49" s="83" t="inlineStr">
        <is>
          <t>No.</t>
        </is>
      </c>
      <c r="E49" s="83" t="n">
        <v>1</v>
      </c>
      <c r="F49" s="85" t="n">
        <v>201</v>
      </c>
      <c r="G49" s="85" t="n">
        <v>201</v>
      </c>
      <c r="H49" s="85" t="n">
        <v>10.48</v>
      </c>
      <c r="I49" s="85" t="n">
        <v>10.48</v>
      </c>
      <c r="J49" s="84" t="inlineStr">
        <is>
          <t>SSB S000069</t>
        </is>
      </c>
    </row>
    <row r="50" ht="13.5" customHeight="1" s="66">
      <c r="A50" s="86" t="n">
        <v>46</v>
      </c>
      <c r="B50" s="87" t="inlineStr">
        <is>
          <t>Venflon</t>
        </is>
      </c>
      <c r="C50" s="87" t="inlineStr">
        <is>
          <t>IV Cannula</t>
        </is>
      </c>
      <c r="D50" s="86" t="inlineStr">
        <is>
          <t>No.</t>
        </is>
      </c>
      <c r="E50" s="86" t="n">
        <v>1</v>
      </c>
      <c r="F50" s="88" t="n">
        <v>321</v>
      </c>
      <c r="G50" s="88" t="n">
        <v>321</v>
      </c>
      <c r="H50" s="88" t="n">
        <v>55</v>
      </c>
      <c r="I50" s="88" t="n">
        <v>55</v>
      </c>
      <c r="J50" s="87" t="inlineStr">
        <is>
          <t>Vivek F-684</t>
        </is>
      </c>
    </row>
    <row r="51" ht="13.5" customHeight="1" s="66">
      <c r="A51" s="83" t="n">
        <v>47</v>
      </c>
      <c r="B51" s="84" t="inlineStr">
        <is>
          <t>Easyfix</t>
        </is>
      </c>
      <c r="C51" s="84" t="inlineStr">
        <is>
          <t>Adhesive dressing</t>
        </is>
      </c>
      <c r="D51" s="83" t="inlineStr">
        <is>
          <t>No.</t>
        </is>
      </c>
      <c r="E51" s="83" t="n">
        <v>1</v>
      </c>
      <c r="F51" s="85" t="n">
        <v>900</v>
      </c>
      <c r="G51" s="85" t="n">
        <v>900</v>
      </c>
      <c r="H51" s="85" t="n">
        <v>300</v>
      </c>
      <c r="I51" s="85" t="n">
        <v>300</v>
      </c>
      <c r="J51" s="84" t="inlineStr">
        <is>
          <t>CLD 3x proxy</t>
        </is>
      </c>
    </row>
    <row r="52" ht="13.5" customHeight="1" s="66">
      <c r="A52" s="86" t="n">
        <v>48</v>
      </c>
      <c r="B52" s="87" t="inlineStr">
        <is>
          <t>IVF NS 500ml</t>
        </is>
      </c>
      <c r="C52" s="87" t="inlineStr">
        <is>
          <t>Normal Saline</t>
        </is>
      </c>
      <c r="D52" s="86" t="inlineStr">
        <is>
          <t>No.</t>
        </is>
      </c>
      <c r="E52" s="86" t="n">
        <v>3</v>
      </c>
      <c r="F52" s="88" t="n">
        <v>39.05</v>
      </c>
      <c r="G52" s="88" t="n">
        <v>117.15</v>
      </c>
      <c r="H52" s="88" t="n">
        <v>16.67</v>
      </c>
      <c r="I52" s="88" t="n">
        <v>50.01</v>
      </c>
      <c r="J52" s="87" t="inlineStr">
        <is>
          <t>SSB S000068</t>
        </is>
      </c>
    </row>
    <row r="53" ht="13.5" customHeight="1" s="66">
      <c r="A53" s="83" t="n">
        <v>49</v>
      </c>
      <c r="B53" s="84" t="inlineStr">
        <is>
          <t>IVF RL 500ml</t>
        </is>
      </c>
      <c r="C53" s="84" t="inlineStr">
        <is>
          <t>Ringer's Lactate</t>
        </is>
      </c>
      <c r="D53" s="83" t="inlineStr">
        <is>
          <t>No.</t>
        </is>
      </c>
      <c r="E53" s="83" t="n">
        <v>1</v>
      </c>
      <c r="F53" s="85" t="n">
        <v>63.3</v>
      </c>
      <c r="G53" s="85" t="n">
        <v>63.3</v>
      </c>
      <c r="H53" s="85" t="n">
        <v>17.62</v>
      </c>
      <c r="I53" s="85" t="n">
        <v>17.62</v>
      </c>
      <c r="J53" s="84" t="inlineStr">
        <is>
          <t>SSB S000068</t>
        </is>
      </c>
    </row>
    <row r="54" ht="13.5" customHeight="1" s="66">
      <c r="A54" s="86" t="n">
        <v>50</v>
      </c>
      <c r="B54" s="87" t="inlineStr">
        <is>
          <t>IVF DNS 500ml</t>
        </is>
      </c>
      <c r="C54" s="87" t="inlineStr">
        <is>
          <t>DNS</t>
        </is>
      </c>
      <c r="D54" s="86" t="inlineStr">
        <is>
          <t>No.</t>
        </is>
      </c>
      <c r="E54" s="86" t="n">
        <v>1</v>
      </c>
      <c r="F54" s="88" t="n">
        <v>42.8</v>
      </c>
      <c r="G54" s="88" t="n">
        <v>42.8</v>
      </c>
      <c r="H54" s="88" t="n">
        <v>17.14</v>
      </c>
      <c r="I54" s="88" t="n">
        <v>17.14</v>
      </c>
      <c r="J54" s="87" t="inlineStr">
        <is>
          <t>SSB S000068</t>
        </is>
      </c>
    </row>
    <row r="55" ht="13.5" customHeight="1" s="66">
      <c r="A55" s="83" t="n">
        <v>51</v>
      </c>
      <c r="B55" s="84" t="inlineStr">
        <is>
          <t>Easyfix</t>
        </is>
      </c>
      <c r="C55" s="84" t="inlineStr">
        <is>
          <t>Adhesive dressing</t>
        </is>
      </c>
      <c r="D55" s="83" t="inlineStr">
        <is>
          <t>No.</t>
        </is>
      </c>
      <c r="E55" s="83" t="n">
        <v>1</v>
      </c>
      <c r="F55" s="85" t="n">
        <v>900</v>
      </c>
      <c r="G55" s="85" t="n">
        <v>900</v>
      </c>
      <c r="H55" s="85" t="n">
        <v>300</v>
      </c>
      <c r="I55" s="85" t="n">
        <v>300</v>
      </c>
      <c r="J55" s="84" t="inlineStr">
        <is>
          <t>CLD 3x proxy</t>
        </is>
      </c>
    </row>
    <row r="56" ht="15.75" customHeight="1" s="66">
      <c r="A56" s="96" t="inlineStr">
        <is>
          <t xml:space="preserve">  Subtotal — Consumables / Medicines</t>
        </is>
      </c>
      <c r="B56" s="97" t="n"/>
      <c r="C56" s="97" t="n"/>
      <c r="D56" s="97" t="n"/>
      <c r="E56" s="97" t="n"/>
      <c r="F56" s="97" t="n"/>
      <c r="G56" s="98" t="n">
        <v>9897.76</v>
      </c>
      <c r="H56" s="99" t="n"/>
      <c r="I56" s="98" t="n">
        <v>4595.19</v>
      </c>
      <c r="J56" s="99" t="n"/>
    </row>
    <row r="58" ht="15" customHeight="1" s="66">
      <c r="A58" s="100" t="inlineStr">
        <is>
          <t xml:space="preserve">  SECTION B — ROOM / BED CHARGES</t>
        </is>
      </c>
    </row>
    <row r="59" ht="13.5" customHeight="1" s="66">
      <c r="A59" s="101" t="n">
        <v>1</v>
      </c>
      <c r="B59" s="102" t="inlineStr">
        <is>
          <t>Bed / Room Charges</t>
        </is>
      </c>
      <c r="C59" s="102" t="inlineStr">
        <is>
          <t>General Ward — 1 Day</t>
        </is>
      </c>
      <c r="D59" s="101" t="inlineStr">
        <is>
          <t>Day</t>
        </is>
      </c>
      <c r="E59" s="101" t="n">
        <v>1</v>
      </c>
      <c r="F59" s="103" t="n">
        <v>1000</v>
      </c>
      <c r="G59" s="103" t="n">
        <v>1000</v>
      </c>
      <c r="H59" s="102" t="inlineStr">
        <is>
          <t>—</t>
        </is>
      </c>
      <c r="I59" s="102" t="inlineStr">
        <is>
          <t>—</t>
        </is>
      </c>
      <c r="J59" s="104" t="inlineStr">
        <is>
          <t>Fixed hospital rate</t>
        </is>
      </c>
    </row>
    <row r="61" ht="15" customHeight="1" s="66">
      <c r="A61" s="105" t="inlineStr">
        <is>
          <t xml:space="preserve">  SECTION C — OT / PROCEDURE CHARGES</t>
        </is>
      </c>
    </row>
    <row r="62" ht="13.5" customHeight="1" s="66">
      <c r="A62" s="106" t="n">
        <v>1</v>
      </c>
      <c r="B62" s="107" t="inlineStr">
        <is>
          <t>OT / Procedure Charges</t>
        </is>
      </c>
      <c r="C62" s="107" t="inlineStr">
        <is>
          <t>Per procedure</t>
        </is>
      </c>
      <c r="D62" s="106" t="inlineStr">
        <is>
          <t>—</t>
        </is>
      </c>
      <c r="E62" s="106" t="n">
        <v>1</v>
      </c>
      <c r="F62" s="108" t="n">
        <v>1500</v>
      </c>
      <c r="G62" s="108" t="n">
        <v>1500</v>
      </c>
      <c r="H62" s="107" t="inlineStr">
        <is>
          <t>—</t>
        </is>
      </c>
      <c r="I62" s="107" t="inlineStr">
        <is>
          <t>—</t>
        </is>
      </c>
      <c r="J62" s="109" t="inlineStr">
        <is>
          <t>Fixed hospital rate</t>
        </is>
      </c>
    </row>
    <row r="64" ht="21.75" customHeight="1" s="66">
      <c r="A64" s="110" t="inlineStr">
        <is>
          <t>GRAND TOTAL PATIENT BILL</t>
        </is>
      </c>
      <c r="B64" s="111" t="n"/>
      <c r="C64" s="111" t="n"/>
      <c r="D64" s="111" t="n"/>
      <c r="E64" s="111" t="n"/>
      <c r="F64" s="111" t="n"/>
      <c r="G64" s="112" t="n">
        <v>12397.76</v>
      </c>
      <c r="H64" s="113" t="inlineStr">
        <is>
          <t>Total Cost: ₹4,595.19  |  Margin: ₹7,802.57</t>
        </is>
      </c>
      <c r="I64" s="111" t="n"/>
      <c r="J64" s="114" t="n"/>
    </row>
    <row r="66" ht="18" customHeight="1" s="66">
      <c r="A66" s="115" t="inlineStr">
        <is>
          <t xml:space="preserve">  🟡 Amber rows = estimated MRP (market/proxy rate); cost shown as 30% below MRP.   🔴 Red rows = MRP not found; enter manually.   White/blue rows = actual invoice MRP.</t>
        </is>
      </c>
    </row>
    <row r="67" ht="18" customHeight="1" s="66">
      <c r="A67" s="116" t="inlineStr">
        <is>
          <t>⚠ 8 item(s) without MRP: Sanitary Pad | Cord Clamp | Blade No. 10 | W9932 | Inj. Campuse 2acs | Plain Sheet | Blade No. 20 | Vacuum Suck</t>
        </is>
      </c>
    </row>
  </sheetData>
  <mergeCells count="12">
    <mergeCell ref="A1:J1"/>
    <mergeCell ref="A61:J61"/>
    <mergeCell ref="A58:J58"/>
    <mergeCell ref="E2:F2"/>
    <mergeCell ref="H64:I64"/>
    <mergeCell ref="I2:J2"/>
    <mergeCell ref="A67:J67"/>
    <mergeCell ref="A3:J3"/>
    <mergeCell ref="A56:F56"/>
    <mergeCell ref="A2:D2"/>
    <mergeCell ref="A64:F64"/>
    <mergeCell ref="A66:J6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Mou Das</t>
        </is>
      </c>
      <c r="E2" s="123" t="inlineStr">
        <is>
          <t>Doctor: Prof. Dr. S. Gupta</t>
        </is>
      </c>
      <c r="G2" s="123" t="inlineStr">
        <is>
          <t>Date: 05/07/2026</t>
        </is>
      </c>
      <c r="I2" s="123" t="inlineStr">
        <is>
          <t>Proc: Dilation — BTIVA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70" t="n">
        <v>1</v>
      </c>
      <c r="B5" s="70" t="inlineStr">
        <is>
          <t>Syringe 2cc</t>
        </is>
      </c>
      <c r="C5" s="70" t="n"/>
      <c r="D5" s="70" t="inlineStr">
        <is>
          <t>No.</t>
        </is>
      </c>
      <c r="E5" s="70" t="n">
        <v>1</v>
      </c>
      <c r="F5" s="71" t="n">
        <v>8.449999999999999</v>
      </c>
      <c r="G5" s="71">
        <f>E5*F5</f>
        <v/>
      </c>
      <c r="H5" s="71" t="n">
        <v>2.3</v>
      </c>
      <c r="I5" s="71">
        <f>E5*H5</f>
        <v/>
      </c>
      <c r="J5" s="70" t="inlineStr">
        <is>
          <t>M.R. MR000753</t>
        </is>
      </c>
    </row>
    <row r="6" ht="15" customHeight="1" s="66">
      <c r="A6" s="125" t="n">
        <v>2</v>
      </c>
      <c r="B6" s="125" t="inlineStr">
        <is>
          <t>Gauze Pieces (Sterile) ×10</t>
        </is>
      </c>
      <c r="C6" s="125" t="n"/>
      <c r="D6" s="125" t="inlineStr">
        <is>
          <t>No.</t>
        </is>
      </c>
      <c r="E6" s="125" t="n">
        <v>10</v>
      </c>
      <c r="F6" s="125" t="n">
        <v>14</v>
      </c>
      <c r="G6" s="125" t="n">
        <v>140</v>
      </c>
      <c r="H6" s="125" t="n">
        <v>5.46</v>
      </c>
      <c r="I6" s="125" t="n">
        <v>54.6</v>
      </c>
      <c r="J6" s="125" t="inlineStr">
        <is>
          <t>Filled from stock/rate card</t>
        </is>
      </c>
    </row>
    <row r="7" ht="15" customHeight="1" s="66">
      <c r="A7" s="70" t="n">
        <v>3</v>
      </c>
      <c r="B7" s="70" t="inlineStr">
        <is>
          <t>OT Mop / Abd. Swab ×3</t>
        </is>
      </c>
      <c r="C7" s="70" t="n"/>
      <c r="D7" s="70" t="inlineStr">
        <is>
          <t>No.</t>
        </is>
      </c>
      <c r="E7" s="70" t="n">
        <v>1</v>
      </c>
      <c r="F7" s="71" t="n">
        <v>95</v>
      </c>
      <c r="G7" s="71">
        <f>E7*F7</f>
        <v/>
      </c>
      <c r="H7" s="71" t="n">
        <v>40.15</v>
      </c>
      <c r="I7" s="71">
        <f>E7*H7</f>
        <v/>
      </c>
      <c r="J7" s="70" t="inlineStr">
        <is>
          <t>B.P. 349</t>
        </is>
      </c>
    </row>
    <row r="8" ht="15" customHeight="1" s="66">
      <c r="A8" s="70" t="n">
        <v>4</v>
      </c>
      <c r="B8" s="70" t="inlineStr">
        <is>
          <t>Gloves 7.0 — Sterile Surgical</t>
        </is>
      </c>
      <c r="C8" s="70" t="n"/>
      <c r="D8" s="70" t="inlineStr">
        <is>
          <t>No.</t>
        </is>
      </c>
      <c r="E8" s="70" t="n">
        <v>1</v>
      </c>
      <c r="F8" s="71" t="n">
        <v>91</v>
      </c>
      <c r="G8" s="71">
        <f>E8*F8</f>
        <v/>
      </c>
      <c r="H8" s="71" t="n">
        <v>19.06</v>
      </c>
      <c r="I8" s="71">
        <f>E8*H8</f>
        <v/>
      </c>
      <c r="J8" s="70" t="inlineStr">
        <is>
          <t>Vivekananda F/747</t>
        </is>
      </c>
    </row>
    <row r="9" ht="15" customHeight="1" s="66">
      <c r="A9" s="70" t="n">
        <v>5</v>
      </c>
      <c r="B9" s="70" t="inlineStr">
        <is>
          <t>Gloves 6.5 — Sterile Surgical</t>
        </is>
      </c>
      <c r="C9" s="70" t="n"/>
      <c r="D9" s="70" t="inlineStr">
        <is>
          <t>No.</t>
        </is>
      </c>
      <c r="E9" s="70" t="n">
        <v>1</v>
      </c>
      <c r="F9" s="71" t="n">
        <v>91</v>
      </c>
      <c r="G9" s="71">
        <f>E9*F9</f>
        <v/>
      </c>
      <c r="H9" s="71" t="n">
        <v>19.06</v>
      </c>
      <c r="I9" s="71">
        <f>E9*H9</f>
        <v/>
      </c>
      <c r="J9" s="70" t="inlineStr">
        <is>
          <t>Vivekananda F/747</t>
        </is>
      </c>
    </row>
    <row r="10" ht="15" customHeight="1" s="66">
      <c r="A10" s="70" t="n">
        <v>6</v>
      </c>
      <c r="B10" s="70" t="inlineStr">
        <is>
          <t>NS 1000ml — Normal Saline 1L</t>
        </is>
      </c>
      <c r="C10" s="70" t="n"/>
      <c r="D10" s="70" t="inlineStr">
        <is>
          <t>No.</t>
        </is>
      </c>
      <c r="E10" s="70" t="n">
        <v>1</v>
      </c>
      <c r="F10" s="71" t="n">
        <v>61.17</v>
      </c>
      <c r="G10" s="71">
        <f>E10*F10</f>
        <v/>
      </c>
      <c r="H10" s="71" t="n">
        <v>30.48</v>
      </c>
      <c r="I10" s="71">
        <f>E10*H10</f>
        <v/>
      </c>
      <c r="J10" s="70" t="inlineStr">
        <is>
          <t>S.S.B. S000645</t>
        </is>
      </c>
    </row>
    <row r="11" ht="15" customHeight="1" s="66">
      <c r="A11" s="70" t="n">
        <v>7</v>
      </c>
      <c r="B11" s="70" t="inlineStr">
        <is>
          <t>Betadine Lotion 50ml</t>
        </is>
      </c>
      <c r="C11" s="70" t="n"/>
      <c r="D11" s="70" t="inlineStr">
        <is>
          <t>No.</t>
        </is>
      </c>
      <c r="E11" s="70" t="n">
        <v>1</v>
      </c>
      <c r="F11" s="71" t="n">
        <v>151.33</v>
      </c>
      <c r="G11" s="71">
        <f>E11*F11</f>
        <v/>
      </c>
      <c r="H11" s="71" t="n">
        <v>85.70999999999999</v>
      </c>
      <c r="I11" s="71">
        <f>E11*H11</f>
        <v/>
      </c>
      <c r="J11" s="70" t="inlineStr">
        <is>
          <t>S.S.B. S000645</t>
        </is>
      </c>
    </row>
    <row r="12" ht="15" customHeight="1" s="66">
      <c r="A12" s="126" t="inlineStr">
        <is>
          <t xml:space="preserve">  Subtotal — Consumables / Medicines</t>
        </is>
      </c>
      <c r="G12" s="127">
        <f>SUM(G5:G11)</f>
        <v/>
      </c>
      <c r="H12" s="128" t="n"/>
      <c r="I12" s="127">
        <f>SUM(I5:I11)</f>
        <v/>
      </c>
      <c r="J12" s="128" t="n"/>
    </row>
    <row r="14" ht="15" customHeight="1" s="66">
      <c r="A14" s="124" t="inlineStr">
        <is>
          <t xml:space="preserve">  SECTION B — ROOM / BED CHARGES</t>
        </is>
      </c>
    </row>
    <row r="15" ht="15" customHeight="1" s="66">
      <c r="A15" s="70" t="n">
        <v>1</v>
      </c>
      <c r="B15" s="70" t="inlineStr">
        <is>
          <t>Bed / Room Charges</t>
        </is>
      </c>
      <c r="C15" s="70" t="inlineStr">
        <is>
          <t>Ward</t>
        </is>
      </c>
      <c r="D15" s="70" t="inlineStr">
        <is>
          <t>Day</t>
        </is>
      </c>
      <c r="E15" s="70" t="n">
        <v>1</v>
      </c>
      <c r="F15" s="71" t="n">
        <v>1000</v>
      </c>
      <c r="G15" s="71">
        <f>E15*F15</f>
        <v/>
      </c>
      <c r="H15" s="70" t="inlineStr">
        <is>
          <t>—</t>
        </is>
      </c>
      <c r="I15" s="70" t="inlineStr">
        <is>
          <t>—</t>
        </is>
      </c>
      <c r="J15" s="70" t="inlineStr">
        <is>
          <t>Per sheet</t>
        </is>
      </c>
    </row>
    <row r="17" ht="15" customHeight="1" s="66">
      <c r="A17" s="124" t="inlineStr">
        <is>
          <t xml:space="preserve">  SECTION C — OT / PROCEDURE CHARGES</t>
        </is>
      </c>
    </row>
    <row r="18" ht="15" customHeight="1" s="66">
      <c r="A18" s="70" t="n">
        <v>1</v>
      </c>
      <c r="B18" s="70" t="inlineStr">
        <is>
          <t>OT / Procedure Charges</t>
        </is>
      </c>
      <c r="C18" s="70" t="inlineStr">
        <is>
          <t>Per procedure</t>
        </is>
      </c>
      <c r="D18" s="70" t="inlineStr">
        <is>
          <t>—</t>
        </is>
      </c>
      <c r="E18" s="70" t="n">
        <v>1</v>
      </c>
      <c r="F18" s="71" t="n">
        <v>1500</v>
      </c>
      <c r="G18" s="71">
        <f>E18*F18</f>
        <v/>
      </c>
      <c r="H18" s="70" t="inlineStr">
        <is>
          <t>—</t>
        </is>
      </c>
      <c r="I18" s="70" t="inlineStr">
        <is>
          <t>—</t>
        </is>
      </c>
      <c r="J18" s="70" t="inlineStr">
        <is>
          <t>Per sheet</t>
        </is>
      </c>
    </row>
    <row r="20" ht="15" customHeight="1" s="66">
      <c r="A20" s="72" t="inlineStr">
        <is>
          <t>GRAND TOTAL PATIENT BILL</t>
        </is>
      </c>
      <c r="G20" s="73">
        <f>G12+SUM(G15:G15)+SUM(G18:G18)</f>
        <v/>
      </c>
      <c r="H20" s="73">
        <f>I12</f>
        <v/>
      </c>
      <c r="I20" s="73">
        <f>G20-H20</f>
        <v/>
      </c>
      <c r="J20" s="72" t="inlineStr">
        <is>
          <t>Bill | Cost | Margin</t>
        </is>
      </c>
    </row>
  </sheetData>
  <mergeCells count="6">
    <mergeCell ref="A1:J1"/>
    <mergeCell ref="A14:J14"/>
    <mergeCell ref="A17:J17"/>
    <mergeCell ref="A3:J3"/>
    <mergeCell ref="A12:F12"/>
    <mergeCell ref="A20:F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J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Suvarna Mondal</t>
        </is>
      </c>
      <c r="E2" s="123" t="inlineStr">
        <is>
          <t>Doctor: Dr. K. Digga</t>
        </is>
      </c>
      <c r="G2" s="123" t="inlineStr">
        <is>
          <t>Date: 09/07/2026</t>
        </is>
      </c>
      <c r="I2" s="123" t="inlineStr">
        <is>
          <t>Proc: Orthopaedic — Spinal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70" t="n">
        <v>1</v>
      </c>
      <c r="B5" s="70" t="inlineStr">
        <is>
          <t>IV Cannula 20G (Venflon)</t>
        </is>
      </c>
      <c r="C5" s="70" t="n"/>
      <c r="D5" s="70" t="inlineStr">
        <is>
          <t>No.</t>
        </is>
      </c>
      <c r="E5" s="70" t="n">
        <v>1</v>
      </c>
      <c r="F5" s="71" t="n">
        <v>198</v>
      </c>
      <c r="G5" s="71">
        <f>E5*F5</f>
        <v/>
      </c>
      <c r="H5" s="71" t="n">
        <v>7.14</v>
      </c>
      <c r="I5" s="71">
        <f>E5*H5</f>
        <v/>
      </c>
      <c r="J5" s="70" t="inlineStr">
        <is>
          <t>S.S.B. S000399</t>
        </is>
      </c>
    </row>
    <row r="6" ht="15" customHeight="1" s="66">
      <c r="A6" s="70" t="n">
        <v>2</v>
      </c>
      <c r="B6" s="70" t="inlineStr">
        <is>
          <t>Spinal Needle 25G (Spinocaine)</t>
        </is>
      </c>
      <c r="C6" s="70" t="n"/>
      <c r="D6" s="70" t="inlineStr">
        <is>
          <t>No.</t>
        </is>
      </c>
      <c r="E6" s="70" t="n">
        <v>1</v>
      </c>
      <c r="F6" s="71" t="n">
        <v>153</v>
      </c>
      <c r="G6" s="71">
        <f>E6*F6</f>
        <v/>
      </c>
      <c r="H6" s="71" t="n">
        <v>74.29000000000001</v>
      </c>
      <c r="I6" s="71">
        <f>E6*H6</f>
        <v/>
      </c>
      <c r="J6" s="70" t="inlineStr">
        <is>
          <t>S.S.B. S000092</t>
        </is>
      </c>
    </row>
    <row r="7" ht="15" customHeight="1" s="66">
      <c r="A7" s="70" t="n">
        <v>3</v>
      </c>
      <c r="B7" s="70" t="inlineStr">
        <is>
          <t>Needles 26G ×2</t>
        </is>
      </c>
      <c r="C7" s="70" t="n"/>
      <c r="D7" s="70" t="inlineStr">
        <is>
          <t>No.</t>
        </is>
      </c>
      <c r="E7" s="70" t="n">
        <v>2</v>
      </c>
      <c r="F7" s="71" t="n">
        <v>243.75</v>
      </c>
      <c r="G7" s="71">
        <f>E7*F7</f>
        <v/>
      </c>
      <c r="H7" s="71" t="n">
        <v>80.95</v>
      </c>
      <c r="I7" s="71">
        <f>E7*H7</f>
        <v/>
      </c>
      <c r="J7" s="70" t="inlineStr">
        <is>
          <t>S.S.B. S000092</t>
        </is>
      </c>
    </row>
    <row r="8" ht="15" customHeight="1" s="66">
      <c r="A8" s="70" t="n">
        <v>4</v>
      </c>
      <c r="B8" s="70" t="inlineStr">
        <is>
          <t>Foley's Catheter 14 No.</t>
        </is>
      </c>
      <c r="C8" s="70" t="n"/>
      <c r="D8" s="70" t="inlineStr">
        <is>
          <t>No.</t>
        </is>
      </c>
      <c r="E8" s="70" t="n">
        <v>1</v>
      </c>
      <c r="F8" s="71" t="n">
        <v>174</v>
      </c>
      <c r="G8" s="71">
        <f>E8*F8</f>
        <v/>
      </c>
      <c r="H8" s="71" t="n">
        <v>126.5</v>
      </c>
      <c r="I8" s="71">
        <f>E8*H8</f>
        <v/>
      </c>
      <c r="J8" s="70" t="inlineStr">
        <is>
          <t>B.P. 248</t>
        </is>
      </c>
    </row>
    <row r="9" ht="15" customHeight="1" s="66">
      <c r="A9" s="70" t="n">
        <v>5</v>
      </c>
      <c r="B9" s="70" t="inlineStr">
        <is>
          <t>Urobag</t>
        </is>
      </c>
      <c r="C9" s="70" t="n"/>
      <c r="D9" s="70" t="inlineStr">
        <is>
          <t>No.</t>
        </is>
      </c>
      <c r="E9" s="70" t="n">
        <v>1</v>
      </c>
      <c r="F9" s="71" t="n">
        <v>361</v>
      </c>
      <c r="G9" s="71">
        <f>E9*F9</f>
        <v/>
      </c>
      <c r="H9" s="71" t="n">
        <v>35</v>
      </c>
      <c r="I9" s="71">
        <f>E9*H9</f>
        <v/>
      </c>
      <c r="J9" s="70" t="inlineStr">
        <is>
          <t>Vivekananda F/747</t>
        </is>
      </c>
    </row>
    <row r="10" ht="15" customHeight="1" s="66">
      <c r="A10" s="70" t="n">
        <v>6</v>
      </c>
      <c r="B10" s="70" t="inlineStr">
        <is>
          <t>OT Mop / Abd. Swab ×2</t>
        </is>
      </c>
      <c r="C10" s="70" t="n"/>
      <c r="D10" s="70" t="inlineStr">
        <is>
          <t>No.</t>
        </is>
      </c>
      <c r="E10" s="70" t="n">
        <v>2</v>
      </c>
      <c r="F10" s="71" t="n">
        <v>95</v>
      </c>
      <c r="G10" s="71">
        <f>E10*F10</f>
        <v/>
      </c>
      <c r="H10" s="71" t="n">
        <v>40.15</v>
      </c>
      <c r="I10" s="71">
        <f>E10*H10</f>
        <v/>
      </c>
      <c r="J10" s="70" t="inlineStr">
        <is>
          <t>B.P. 349</t>
        </is>
      </c>
    </row>
    <row r="11" ht="15" customHeight="1" s="66">
      <c r="A11" s="70" t="n">
        <v>7</v>
      </c>
      <c r="B11" s="70" t="inlineStr">
        <is>
          <t>Inj. Anawin Heavy 4ml (Bupivacaine Heavy)</t>
        </is>
      </c>
      <c r="C11" s="70" t="n"/>
      <c r="D11" s="70" t="inlineStr">
        <is>
          <t>No.</t>
        </is>
      </c>
      <c r="E11" s="70" t="n">
        <v>1</v>
      </c>
      <c r="F11" s="71" t="n">
        <v>31.47</v>
      </c>
      <c r="G11" s="71">
        <f>E11*F11</f>
        <v/>
      </c>
      <c r="H11" s="71" t="n">
        <v>24.76</v>
      </c>
      <c r="I11" s="71">
        <f>E11*H11</f>
        <v/>
      </c>
      <c r="J11" s="70" t="inlineStr">
        <is>
          <t>S.S.B. S000092</t>
        </is>
      </c>
    </row>
    <row r="12" ht="15" customHeight="1" s="66">
      <c r="A12" s="70" t="n">
        <v>8</v>
      </c>
      <c r="B12" s="70" t="inlineStr">
        <is>
          <t>Distilled Water 10ml</t>
        </is>
      </c>
      <c r="C12" s="70" t="n"/>
      <c r="D12" s="70" t="inlineStr">
        <is>
          <t>No.</t>
        </is>
      </c>
      <c r="E12" s="70" t="n">
        <v>1</v>
      </c>
      <c r="F12" s="71" t="n">
        <v>3.24</v>
      </c>
      <c r="G12" s="71">
        <f>E12*F12</f>
        <v/>
      </c>
      <c r="H12" s="71" t="n">
        <v>2.51</v>
      </c>
      <c r="I12" s="71">
        <f>E12*H12</f>
        <v/>
      </c>
      <c r="J12" s="70" t="inlineStr">
        <is>
          <t>Vivekananda F/747</t>
        </is>
      </c>
    </row>
    <row r="13" ht="15" customHeight="1" s="66">
      <c r="A13" s="70" t="n">
        <v>9</v>
      </c>
      <c r="B13" s="70" t="inlineStr">
        <is>
          <t>Inj. Atropine 0.6mg</t>
        </is>
      </c>
      <c r="C13" s="70" t="n"/>
      <c r="D13" s="70" t="inlineStr">
        <is>
          <t>No.</t>
        </is>
      </c>
      <c r="E13" s="70" t="n">
        <v>1</v>
      </c>
      <c r="F13" s="71" t="n">
        <v>7.3</v>
      </c>
      <c r="G13" s="71">
        <f>E13*F13</f>
        <v/>
      </c>
      <c r="H13" s="71" t="n">
        <v>5.71</v>
      </c>
      <c r="I13" s="71">
        <f>E13*H13</f>
        <v/>
      </c>
      <c r="J13" s="70" t="inlineStr">
        <is>
          <t>S.S.B. S000400</t>
        </is>
      </c>
    </row>
    <row r="14" ht="15" customHeight="1" s="66">
      <c r="A14" s="70" t="n">
        <v>10</v>
      </c>
      <c r="B14" s="70" t="inlineStr">
        <is>
          <t>Roller Bandage 6" ×8</t>
        </is>
      </c>
      <c r="C14" s="70" t="n"/>
      <c r="D14" s="70" t="inlineStr">
        <is>
          <t>No.</t>
        </is>
      </c>
      <c r="E14" s="70" t="n">
        <v>8</v>
      </c>
      <c r="F14" s="71" t="n">
        <v>124</v>
      </c>
      <c r="G14" s="71">
        <f>E14*F14</f>
        <v/>
      </c>
      <c r="H14" s="71" t="n">
        <v>78</v>
      </c>
      <c r="I14" s="71">
        <f>E14*H14</f>
        <v/>
      </c>
      <c r="J14" s="70" t="inlineStr">
        <is>
          <t>B.P. 340</t>
        </is>
      </c>
    </row>
    <row r="15" ht="15" customHeight="1" s="66">
      <c r="A15" s="70" t="n">
        <v>11</v>
      </c>
      <c r="B15" s="70" t="inlineStr">
        <is>
          <t>Gloves 7.0 — Sterile Surgical ×2</t>
        </is>
      </c>
      <c r="C15" s="70" t="n"/>
      <c r="D15" s="70" t="inlineStr">
        <is>
          <t>No.</t>
        </is>
      </c>
      <c r="E15" s="70" t="n">
        <v>12</v>
      </c>
      <c r="F15" s="71" t="n">
        <v>91</v>
      </c>
      <c r="G15" s="71">
        <f>E15*F15</f>
        <v/>
      </c>
      <c r="H15" s="71" t="n">
        <v>19.06</v>
      </c>
      <c r="I15" s="71">
        <f>E15*H15</f>
        <v/>
      </c>
      <c r="J15" s="70" t="inlineStr">
        <is>
          <t>Vivekananda F/747</t>
        </is>
      </c>
    </row>
    <row r="16" ht="15" customHeight="1" s="66">
      <c r="A16" s="70" t="n">
        <v>12</v>
      </c>
      <c r="B16" s="70" t="inlineStr">
        <is>
          <t>Gloves 6.5 — Sterile Surgical ×3</t>
        </is>
      </c>
      <c r="C16" s="70" t="n"/>
      <c r="D16" s="70" t="inlineStr">
        <is>
          <t>No.</t>
        </is>
      </c>
      <c r="E16" s="70" t="n">
        <v>3</v>
      </c>
      <c r="F16" s="71" t="n">
        <v>91</v>
      </c>
      <c r="G16" s="71">
        <f>E16*F16</f>
        <v/>
      </c>
      <c r="H16" s="71" t="n">
        <v>19.06</v>
      </c>
      <c r="I16" s="71">
        <f>E16*H16</f>
        <v/>
      </c>
      <c r="J16" s="70" t="inlineStr">
        <is>
          <t>Vivekananda F/747</t>
        </is>
      </c>
    </row>
    <row r="17" ht="15" customHeight="1" s="66">
      <c r="A17" s="125" t="n">
        <v>13</v>
      </c>
      <c r="B17" s="125" t="inlineStr">
        <is>
          <t>Suture Vicryl VP2421 (1-0) ×2</t>
        </is>
      </c>
      <c r="C17" s="125" t="n"/>
      <c r="D17" s="125" t="inlineStr">
        <is>
          <t>No.</t>
        </is>
      </c>
      <c r="E17" s="125" t="n">
        <v>2</v>
      </c>
      <c r="F17" s="125" t="n">
        <v>1171</v>
      </c>
      <c r="G17" s="125" t="n">
        <v>2342</v>
      </c>
      <c r="H17" s="125" t="n">
        <v>644.17</v>
      </c>
      <c r="I17" s="125" t="n">
        <v>1288.34</v>
      </c>
      <c r="J17" s="125" t="inlineStr">
        <is>
          <t>Filled from stock/rate card</t>
        </is>
      </c>
    </row>
    <row r="18" ht="15" customHeight="1" s="66">
      <c r="A18" s="70" t="n">
        <v>14</v>
      </c>
      <c r="B18" s="70" t="inlineStr">
        <is>
          <t>Plain Sheet (OT Draping) ×5</t>
        </is>
      </c>
      <c r="C18" s="70" t="n"/>
      <c r="D18" s="70" t="inlineStr">
        <is>
          <t>No.</t>
        </is>
      </c>
      <c r="E18" s="70" t="n">
        <v>5</v>
      </c>
      <c r="F18" s="71" t="n">
        <v>119.5</v>
      </c>
      <c r="G18" s="71">
        <f>E18*F18</f>
        <v/>
      </c>
      <c r="H18" s="71" t="n">
        <v>57.96</v>
      </c>
      <c r="I18" s="71">
        <f>E18*H18</f>
        <v/>
      </c>
      <c r="J18" s="70" t="inlineStr">
        <is>
          <t>M.R. MR000352</t>
        </is>
      </c>
    </row>
    <row r="19" ht="15" customHeight="1" s="66">
      <c r="A19" s="125" t="n">
        <v>15</v>
      </c>
      <c r="B19" s="125" t="inlineStr">
        <is>
          <t>Sterilium 100ml ×2</t>
        </is>
      </c>
      <c r="C19" s="125" t="n"/>
      <c r="D19" s="125" t="inlineStr">
        <is>
          <t>No.</t>
        </is>
      </c>
      <c r="E19" s="125" t="n">
        <v>2</v>
      </c>
      <c r="F19" s="125" t="n">
        <v>150</v>
      </c>
      <c r="G19" s="125" t="n">
        <v>300</v>
      </c>
      <c r="H19" s="125" t="n">
        <v>38.1</v>
      </c>
      <c r="I19" s="125" t="n">
        <v>76.2</v>
      </c>
      <c r="J19" s="125" t="inlineStr">
        <is>
          <t>Filled from stock/rate card</t>
        </is>
      </c>
    </row>
    <row r="20" ht="15" customHeight="1" s="66">
      <c r="A20" s="125" t="n">
        <v>16</v>
      </c>
      <c r="B20" s="125" t="inlineStr">
        <is>
          <t>Naphacinical</t>
        </is>
      </c>
      <c r="C20" s="125" t="n"/>
      <c r="D20" s="125" t="inlineStr">
        <is>
          <t>No.</t>
        </is>
      </c>
      <c r="E20" s="125" t="n">
        <v>1</v>
      </c>
      <c r="F20" s="125" t="inlineStr">
        <is>
          <t>⚠</t>
        </is>
      </c>
      <c r="G20" s="125" t="inlineStr">
        <is>
          <t>⚠</t>
        </is>
      </c>
      <c r="H20" s="125" t="inlineStr">
        <is>
          <t>⚠</t>
        </is>
      </c>
      <c r="I20" s="125" t="inlineStr">
        <is>
          <t>⚠</t>
        </is>
      </c>
      <c r="J20" s="125" t="inlineStr">
        <is>
          <t>⚠ MRP NOT FOUND — fill in manually</t>
        </is>
      </c>
    </row>
    <row r="21" ht="15" customHeight="1" s="66">
      <c r="A21" s="125" t="n">
        <v>17</v>
      </c>
      <c r="B21" s="125" t="inlineStr">
        <is>
          <t>Conts 50</t>
        </is>
      </c>
      <c r="C21" s="125" t="n"/>
      <c r="D21" s="125" t="inlineStr">
        <is>
          <t>No.</t>
        </is>
      </c>
      <c r="E21" s="125" t="n">
        <v>1</v>
      </c>
      <c r="F21" s="125" t="inlineStr">
        <is>
          <t>⚠</t>
        </is>
      </c>
      <c r="G21" s="125" t="inlineStr">
        <is>
          <t>⚠</t>
        </is>
      </c>
      <c r="H21" s="125" t="inlineStr">
        <is>
          <t>⚠</t>
        </is>
      </c>
      <c r="I21" s="125" t="inlineStr">
        <is>
          <t>⚠</t>
        </is>
      </c>
      <c r="J21" s="125" t="inlineStr">
        <is>
          <t>⚠ MRP NOT FOUND — fill in manually</t>
        </is>
      </c>
    </row>
    <row r="22" ht="15" customHeight="1" s="66">
      <c r="A22" s="70" t="n">
        <v>18</v>
      </c>
      <c r="B22" s="70" t="inlineStr">
        <is>
          <t>DNS 500ml</t>
        </is>
      </c>
      <c r="C22" s="70" t="n"/>
      <c r="D22" s="70" t="inlineStr">
        <is>
          <t>No.</t>
        </is>
      </c>
      <c r="E22" s="70" t="n">
        <v>1</v>
      </c>
      <c r="F22" s="71" t="n">
        <v>73</v>
      </c>
      <c r="G22" s="71">
        <f>E22*F22</f>
        <v/>
      </c>
      <c r="H22" s="71" t="n">
        <v>28.6</v>
      </c>
      <c r="I22" s="71">
        <f>E22*H22</f>
        <v/>
      </c>
      <c r="J22" s="70" t="inlineStr">
        <is>
          <t>B.P. 307</t>
        </is>
      </c>
    </row>
    <row r="23" ht="15" customHeight="1" s="66">
      <c r="A23" s="70" t="n">
        <v>19</v>
      </c>
      <c r="B23" s="70" t="inlineStr">
        <is>
          <t>NS 1000ml ×5</t>
        </is>
      </c>
      <c r="C23" s="70" t="n"/>
      <c r="D23" s="70" t="inlineStr">
        <is>
          <t>No.</t>
        </is>
      </c>
      <c r="E23" s="70" t="n">
        <v>5</v>
      </c>
      <c r="F23" s="71" t="n">
        <v>61.17</v>
      </c>
      <c r="G23" s="71">
        <f>E23*F23</f>
        <v/>
      </c>
      <c r="H23" s="71" t="n">
        <v>30.48</v>
      </c>
      <c r="I23" s="71">
        <f>E23*H23</f>
        <v/>
      </c>
      <c r="J23" s="70" t="inlineStr">
        <is>
          <t>S.S.B. S000645</t>
        </is>
      </c>
    </row>
    <row r="24" ht="15" customHeight="1" s="66">
      <c r="A24" s="70" t="n">
        <v>20</v>
      </c>
      <c r="B24" s="70" t="inlineStr">
        <is>
          <t>NS 500 Ml</t>
        </is>
      </c>
      <c r="C24" s="70" t="n"/>
      <c r="D24" s="70" t="inlineStr">
        <is>
          <t>No.</t>
        </is>
      </c>
      <c r="E24" s="70" t="n">
        <v>2</v>
      </c>
      <c r="F24" s="71" t="n">
        <v>36.6</v>
      </c>
      <c r="G24" s="71">
        <f>E24*F24</f>
        <v/>
      </c>
      <c r="H24" s="71" t="n">
        <v>17.62</v>
      </c>
      <c r="I24" s="71">
        <f>E24*H24</f>
        <v/>
      </c>
      <c r="J24" s="70" t="inlineStr">
        <is>
          <t>S.S.B. S000645</t>
        </is>
      </c>
    </row>
    <row r="25" ht="15" customHeight="1" s="66">
      <c r="A25" s="70" t="n">
        <v>21</v>
      </c>
      <c r="B25" s="70" t="inlineStr">
        <is>
          <t>Betadine Lotion 100ml ×3</t>
        </is>
      </c>
      <c r="C25" s="70" t="n"/>
      <c r="D25" s="70" t="inlineStr">
        <is>
          <t>No.</t>
        </is>
      </c>
      <c r="E25" s="70" t="n">
        <v>3</v>
      </c>
      <c r="F25" s="71" t="n">
        <v>151.33</v>
      </c>
      <c r="G25" s="71">
        <f>E25*F25</f>
        <v/>
      </c>
      <c r="H25" s="71" t="n">
        <v>85.70999999999999</v>
      </c>
      <c r="I25" s="71">
        <f>E25*H25</f>
        <v/>
      </c>
      <c r="J25" s="70" t="inlineStr">
        <is>
          <t>S.S.B. S000645</t>
        </is>
      </c>
    </row>
    <row r="26" ht="15" customHeight="1" s="66">
      <c r="A26" s="70" t="n">
        <v>22</v>
      </c>
      <c r="B26" s="70" t="inlineStr">
        <is>
          <t>Betadine Scrub 100ml ×2</t>
        </is>
      </c>
      <c r="C26" s="70" t="n"/>
      <c r="D26" s="70" t="inlineStr">
        <is>
          <t>No.</t>
        </is>
      </c>
      <c r="E26" s="70" t="n">
        <v>2</v>
      </c>
      <c r="F26" s="71" t="n">
        <v>151.33</v>
      </c>
      <c r="G26" s="71">
        <f>E26*F26</f>
        <v/>
      </c>
      <c r="H26" s="71" t="n">
        <v>85.70999999999999</v>
      </c>
      <c r="I26" s="71">
        <f>E26*H26</f>
        <v/>
      </c>
      <c r="J26" s="70" t="inlineStr">
        <is>
          <t>S.S.B. S000645</t>
        </is>
      </c>
    </row>
    <row r="27" ht="15" customHeight="1" s="66">
      <c r="A27" s="125" t="n">
        <v>23</v>
      </c>
      <c r="B27" s="125" t="inlineStr">
        <is>
          <t>Cap + Mask (Disposable Set) ×6</t>
        </is>
      </c>
      <c r="C27" s="125" t="n"/>
      <c r="D27" s="125" t="inlineStr">
        <is>
          <t>No.</t>
        </is>
      </c>
      <c r="E27" s="125" t="n">
        <v>6</v>
      </c>
      <c r="F27" s="125" t="n">
        <v>25</v>
      </c>
      <c r="G27" s="125" t="n">
        <v>150</v>
      </c>
      <c r="H27" s="125" t="inlineStr">
        <is>
          <t>⚠</t>
        </is>
      </c>
      <c r="I27" s="125" t="inlineStr">
        <is>
          <t>⚠</t>
        </is>
      </c>
      <c r="J27" s="125" t="inlineStr">
        <is>
          <t>MRP filled; cost ⚠</t>
        </is>
      </c>
    </row>
    <row r="28" ht="15" customHeight="1" s="66">
      <c r="A28" s="125" t="n">
        <v>24</v>
      </c>
      <c r="B28" s="125" t="inlineStr">
        <is>
          <t>Diathermy Pencil (New)</t>
        </is>
      </c>
      <c r="C28" s="125" t="n"/>
      <c r="D28" s="125" t="inlineStr">
        <is>
          <t>No.</t>
        </is>
      </c>
      <c r="E28" s="125" t="n">
        <v>1</v>
      </c>
      <c r="F28" s="125" t="n">
        <v>1000</v>
      </c>
      <c r="G28" s="125" t="n">
        <v>1000</v>
      </c>
      <c r="H28" s="125" t="inlineStr">
        <is>
          <t>⚠</t>
        </is>
      </c>
      <c r="I28" s="125" t="inlineStr">
        <is>
          <t>⚠</t>
        </is>
      </c>
      <c r="J28" s="125" t="inlineStr">
        <is>
          <t>MRP filled; cost ⚠</t>
        </is>
      </c>
    </row>
    <row r="29" ht="15" customHeight="1" s="66">
      <c r="A29" s="70" t="n">
        <v>25</v>
      </c>
      <c r="B29" s="70" t="inlineStr">
        <is>
          <t>Vacuum Suction (New)</t>
        </is>
      </c>
      <c r="C29" s="70" t="n"/>
      <c r="D29" s="70" t="inlineStr">
        <is>
          <t>No.</t>
        </is>
      </c>
      <c r="E29" s="70" t="n">
        <v>1</v>
      </c>
      <c r="F29" s="71" t="n">
        <v>607</v>
      </c>
      <c r="G29" s="71">
        <f>E29*F29</f>
        <v/>
      </c>
      <c r="H29" s="71" t="n">
        <v>64</v>
      </c>
      <c r="I29" s="71">
        <f>E29*H29</f>
        <v/>
      </c>
      <c r="J29" s="70" t="inlineStr">
        <is>
          <t>B.P. 307</t>
        </is>
      </c>
    </row>
    <row r="30" ht="15" customHeight="1" s="66">
      <c r="A30" s="125" t="n">
        <v>26</v>
      </c>
      <c r="B30" s="125" t="inlineStr">
        <is>
          <t>Surgical Blade 10 No.</t>
        </is>
      </c>
      <c r="C30" s="125" t="n"/>
      <c r="D30" s="125" t="inlineStr">
        <is>
          <t>No.</t>
        </is>
      </c>
      <c r="E30" s="125" t="n">
        <v>1</v>
      </c>
      <c r="F30" s="125" t="n">
        <v>750</v>
      </c>
      <c r="G30" s="125" t="n">
        <v>750</v>
      </c>
      <c r="H30" s="125" t="inlineStr">
        <is>
          <t>⚠</t>
        </is>
      </c>
      <c r="I30" s="125" t="inlineStr">
        <is>
          <t>⚠</t>
        </is>
      </c>
      <c r="J30" s="125" t="inlineStr">
        <is>
          <t>MRP filled; cost ⚠</t>
        </is>
      </c>
    </row>
    <row r="31" ht="15" customHeight="1" s="66">
      <c r="A31" s="125" t="n">
        <v>27</v>
      </c>
      <c r="B31" s="125" t="inlineStr">
        <is>
          <t>Surgical Blade 24 No.</t>
        </is>
      </c>
      <c r="C31" s="125" t="n"/>
      <c r="D31" s="125" t="inlineStr">
        <is>
          <t>No.</t>
        </is>
      </c>
      <c r="E31" s="125" t="n">
        <v>1</v>
      </c>
      <c r="F31" s="125" t="n">
        <v>750</v>
      </c>
      <c r="G31" s="125" t="n">
        <v>750</v>
      </c>
      <c r="H31" s="125" t="inlineStr">
        <is>
          <t>⚠</t>
        </is>
      </c>
      <c r="I31" s="125" t="inlineStr">
        <is>
          <t>⚠</t>
        </is>
      </c>
      <c r="J31" s="125" t="inlineStr">
        <is>
          <t>MRP filled; cost ⚠</t>
        </is>
      </c>
    </row>
    <row r="32" ht="15" customHeight="1" s="66">
      <c r="A32" s="70" t="n">
        <v>28</v>
      </c>
      <c r="B32" s="70" t="inlineStr">
        <is>
          <t>NS 500ml ×4</t>
        </is>
      </c>
      <c r="C32" s="70" t="n"/>
      <c r="D32" s="70" t="inlineStr">
        <is>
          <t>No.</t>
        </is>
      </c>
      <c r="E32" s="70" t="n">
        <v>4</v>
      </c>
      <c r="F32" s="71" t="n">
        <v>36.6</v>
      </c>
      <c r="G32" s="71">
        <f>E32*F32</f>
        <v/>
      </c>
      <c r="H32" s="71" t="n">
        <v>17.62</v>
      </c>
      <c r="I32" s="71">
        <f>E32*H32</f>
        <v/>
      </c>
      <c r="J32" s="70" t="inlineStr">
        <is>
          <t>S.S.B. S000645</t>
        </is>
      </c>
    </row>
    <row r="33" ht="15" customHeight="1" s="66">
      <c r="A33" s="70" t="n">
        <v>29</v>
      </c>
      <c r="B33" s="70" t="inlineStr">
        <is>
          <t>IV Set (Sangoflex)</t>
        </is>
      </c>
      <c r="C33" s="70" t="n"/>
      <c r="D33" s="70" t="inlineStr">
        <is>
          <t>No.</t>
        </is>
      </c>
      <c r="E33" s="70" t="n">
        <v>1</v>
      </c>
      <c r="F33" s="71" t="n">
        <v>201</v>
      </c>
      <c r="G33" s="71">
        <f>E33*F33</f>
        <v/>
      </c>
      <c r="H33" s="71" t="n">
        <v>11.9</v>
      </c>
      <c r="I33" s="71">
        <f>E33*H33</f>
        <v/>
      </c>
      <c r="J33" s="70" t="inlineStr">
        <is>
          <t>S.S.B. S000400</t>
        </is>
      </c>
    </row>
    <row r="34" ht="15" customHeight="1" s="66">
      <c r="A34" s="70" t="n">
        <v>30</v>
      </c>
      <c r="B34" s="70" t="inlineStr">
        <is>
          <t>IV Cannula 18G ×1</t>
        </is>
      </c>
      <c r="C34" s="70" t="n"/>
      <c r="D34" s="70" t="inlineStr">
        <is>
          <t>No.</t>
        </is>
      </c>
      <c r="E34" s="70" t="n">
        <v>1</v>
      </c>
      <c r="F34" s="71" t="n">
        <v>321</v>
      </c>
      <c r="G34" s="71">
        <f>E34*F34</f>
        <v/>
      </c>
      <c r="H34" s="71" t="n">
        <v>55</v>
      </c>
      <c r="I34" s="71">
        <f>E34*H34</f>
        <v/>
      </c>
      <c r="J34" s="70" t="inlineStr">
        <is>
          <t>Vivekananda F/684</t>
        </is>
      </c>
    </row>
    <row r="35" ht="15" customHeight="1" s="66">
      <c r="A35" s="70" t="n">
        <v>31</v>
      </c>
      <c r="B35" s="70" t="inlineStr">
        <is>
          <t>Easyfix</t>
        </is>
      </c>
      <c r="C35" s="70" t="n"/>
      <c r="D35" s="70" t="inlineStr">
        <is>
          <t>No.</t>
        </is>
      </c>
      <c r="E35" s="70" t="n">
        <v>1</v>
      </c>
      <c r="F35" s="71" t="n">
        <v>80.59999999999999</v>
      </c>
      <c r="G35" s="71">
        <f>E35*F35</f>
        <v/>
      </c>
      <c r="H35" s="71" t="n">
        <v>42.86</v>
      </c>
      <c r="I35" s="71">
        <f>E35*H35</f>
        <v/>
      </c>
      <c r="J35" s="70" t="inlineStr">
        <is>
          <t>S.S.B. S000293</t>
        </is>
      </c>
    </row>
    <row r="36" ht="15" customHeight="1" s="66">
      <c r="A36" s="70" t="n">
        <v>32</v>
      </c>
      <c r="B36" s="70" t="inlineStr">
        <is>
          <t>BT Set (Blood Transfusion)</t>
        </is>
      </c>
      <c r="C36" s="70" t="n"/>
      <c r="D36" s="70" t="inlineStr">
        <is>
          <t>No.</t>
        </is>
      </c>
      <c r="E36" s="70" t="n">
        <v>1</v>
      </c>
      <c r="F36" s="71" t="n">
        <v>208</v>
      </c>
      <c r="G36" s="71">
        <f>E36*F36</f>
        <v/>
      </c>
      <c r="H36" s="71" t="n">
        <v>17.14</v>
      </c>
      <c r="I36" s="71">
        <f>E36*H36</f>
        <v/>
      </c>
      <c r="J36" s="70" t="inlineStr">
        <is>
          <t>S.S.B. S000135</t>
        </is>
      </c>
    </row>
    <row r="37" ht="15" customHeight="1" s="66">
      <c r="A37" s="70" t="n">
        <v>33</v>
      </c>
      <c r="B37" s="70" t="inlineStr">
        <is>
          <t>Inj. Pan 40 IV (Pantoprazole) ×4</t>
        </is>
      </c>
      <c r="C37" s="70" t="n"/>
      <c r="D37" s="70" t="inlineStr">
        <is>
          <t>No.</t>
        </is>
      </c>
      <c r="E37" s="70" t="n">
        <v>4</v>
      </c>
      <c r="F37" s="71" t="n">
        <v>53.9</v>
      </c>
      <c r="G37" s="71">
        <f>E37*F37</f>
        <v/>
      </c>
      <c r="H37" s="71" t="n">
        <v>17.14</v>
      </c>
      <c r="I37" s="71">
        <f>E37*H37</f>
        <v/>
      </c>
      <c r="J37" s="70" t="inlineStr">
        <is>
          <t>S.S.B. S000400</t>
        </is>
      </c>
    </row>
    <row r="38" ht="15" customHeight="1" s="66">
      <c r="A38" s="129" t="n">
        <v>34</v>
      </c>
      <c r="B38" s="129" t="inlineStr">
        <is>
          <t>Inj. Ondem 2ml (Ondansetron) ×5</t>
        </is>
      </c>
      <c r="C38" s="129" t="n"/>
      <c r="D38" s="129" t="inlineStr">
        <is>
          <t>No.</t>
        </is>
      </c>
      <c r="E38" s="129" t="n">
        <v>5</v>
      </c>
      <c r="F38" s="130" t="n">
        <v>146.25</v>
      </c>
      <c r="G38" s="130">
        <f>E38*F38</f>
        <v/>
      </c>
      <c r="H38" s="130" t="n">
        <v>109.52</v>
      </c>
      <c r="I38" s="130">
        <f>E38*H38</f>
        <v/>
      </c>
      <c r="J38" s="129" t="inlineStr">
        <is>
          <t>⚠ MRP OUTLIER — verify batch; S.S.B. S000670</t>
        </is>
      </c>
    </row>
    <row r="39" ht="15" customHeight="1" s="66">
      <c r="A39" s="70" t="n">
        <v>35</v>
      </c>
      <c r="B39" s="70" t="inlineStr">
        <is>
          <t>Inj. Cetil 1g (Cefuroxime) ×3</t>
        </is>
      </c>
      <c r="C39" s="70" t="n"/>
      <c r="D39" s="70" t="inlineStr">
        <is>
          <t>No.</t>
        </is>
      </c>
      <c r="E39" s="70" t="n">
        <v>3</v>
      </c>
      <c r="F39" s="71" t="n">
        <v>146.9</v>
      </c>
      <c r="G39" s="71">
        <f>E39*F39</f>
        <v/>
      </c>
      <c r="H39" s="71" t="n">
        <v>90</v>
      </c>
      <c r="I39" s="71">
        <f>E39*H39</f>
        <v/>
      </c>
      <c r="J39" s="70" t="inlineStr">
        <is>
          <t>M.R. MR000659</t>
        </is>
      </c>
    </row>
    <row r="40" ht="15" customHeight="1" s="66">
      <c r="A40" s="70" t="n">
        <v>36</v>
      </c>
      <c r="B40" s="70" t="inlineStr">
        <is>
          <t>Syringe 10ml</t>
        </is>
      </c>
      <c r="C40" s="70" t="n"/>
      <c r="D40" s="70" t="inlineStr">
        <is>
          <t>No.</t>
        </is>
      </c>
      <c r="E40" s="70" t="n">
        <v>1</v>
      </c>
      <c r="F40" s="71" t="n">
        <v>13.3</v>
      </c>
      <c r="G40" s="71">
        <f>E40*F40</f>
        <v/>
      </c>
      <c r="H40" s="71" t="n">
        <v>5.3</v>
      </c>
      <c r="I40" s="71">
        <f>E40*H40</f>
        <v/>
      </c>
      <c r="J40" s="70" t="inlineStr">
        <is>
          <t>M.R. MR000753</t>
        </is>
      </c>
    </row>
    <row r="41" ht="15" customHeight="1" s="66">
      <c r="A41" s="70" t="n">
        <v>37</v>
      </c>
      <c r="B41" s="70" t="inlineStr">
        <is>
          <t>Syringe 5ml ×3</t>
        </is>
      </c>
      <c r="C41" s="70" t="n"/>
      <c r="D41" s="70" t="inlineStr">
        <is>
          <t>No.</t>
        </is>
      </c>
      <c r="E41" s="70" t="n">
        <v>3</v>
      </c>
      <c r="F41" s="71" t="n">
        <v>10.23</v>
      </c>
      <c r="G41" s="71">
        <f>E41*F41</f>
        <v/>
      </c>
      <c r="H41" s="71" t="n">
        <v>3.5</v>
      </c>
      <c r="I41" s="71">
        <f>E41*H41</f>
        <v/>
      </c>
      <c r="J41" s="70" t="inlineStr">
        <is>
          <t>M.R. MR000539</t>
        </is>
      </c>
    </row>
    <row r="42" ht="15" customHeight="1" s="66">
      <c r="A42" s="70" t="n">
        <v>38</v>
      </c>
      <c r="B42" s="70" t="inlineStr">
        <is>
          <t>Needle 26G</t>
        </is>
      </c>
      <c r="C42" s="70" t="n"/>
      <c r="D42" s="70" t="inlineStr">
        <is>
          <t>No.</t>
        </is>
      </c>
      <c r="E42" s="70" t="n">
        <v>1</v>
      </c>
      <c r="F42" s="71" t="n">
        <v>243.75</v>
      </c>
      <c r="G42" s="71">
        <f>E42*F42</f>
        <v/>
      </c>
      <c r="H42" s="71" t="n">
        <v>80.95</v>
      </c>
      <c r="I42" s="71">
        <f>E42*H42</f>
        <v/>
      </c>
      <c r="J42" s="70" t="inlineStr">
        <is>
          <t>S.S.B. S000092</t>
        </is>
      </c>
    </row>
    <row r="43" ht="15" customHeight="1" s="66">
      <c r="A43" s="125" t="n">
        <v>39</v>
      </c>
      <c r="B43" s="125" t="inlineStr">
        <is>
          <t>Inj. Actrapid (Insulin Regular)</t>
        </is>
      </c>
      <c r="C43" s="125" t="n"/>
      <c r="D43" s="125" t="inlineStr">
        <is>
          <t>No.</t>
        </is>
      </c>
      <c r="E43" s="125" t="n">
        <v>1</v>
      </c>
      <c r="F43" s="125" t="n">
        <v>177</v>
      </c>
      <c r="G43" s="125" t="n">
        <v>177</v>
      </c>
      <c r="H43" s="125" t="inlineStr">
        <is>
          <t>⚠</t>
        </is>
      </c>
      <c r="I43" s="125" t="inlineStr">
        <is>
          <t>⚠</t>
        </is>
      </c>
      <c r="J43" s="125" t="inlineStr">
        <is>
          <t>MRP filled; cost ⚠</t>
        </is>
      </c>
    </row>
    <row r="44" ht="15" customHeight="1" s="66">
      <c r="A44" s="70" t="n">
        <v>40</v>
      </c>
      <c r="B44" s="70" t="inlineStr">
        <is>
          <t>Insulin Syringe</t>
        </is>
      </c>
      <c r="C44" s="70" t="n"/>
      <c r="D44" s="70" t="inlineStr">
        <is>
          <t>No.</t>
        </is>
      </c>
      <c r="E44" s="70" t="n">
        <v>1</v>
      </c>
      <c r="F44" s="71" t="n">
        <v>13.3</v>
      </c>
      <c r="G44" s="71">
        <f>E44*F44</f>
        <v/>
      </c>
      <c r="H44" s="71" t="n">
        <v>5.3</v>
      </c>
      <c r="I44" s="71">
        <f>E44*H44</f>
        <v/>
      </c>
      <c r="J44" s="70" t="inlineStr">
        <is>
          <t>M.R. MR000753</t>
        </is>
      </c>
    </row>
    <row r="45" ht="15" customHeight="1" s="66">
      <c r="A45" s="70" t="n">
        <v>41</v>
      </c>
      <c r="B45" s="70" t="inlineStr">
        <is>
          <t>Inj. Amikacin 500mg</t>
        </is>
      </c>
      <c r="C45" s="70" t="n"/>
      <c r="D45" s="70" t="inlineStr">
        <is>
          <t>No.</t>
        </is>
      </c>
      <c r="E45" s="70" t="n">
        <v>1</v>
      </c>
      <c r="F45" s="71" t="n">
        <v>115.73</v>
      </c>
      <c r="G45" s="71">
        <f>E45*F45</f>
        <v/>
      </c>
      <c r="H45" s="71" t="n">
        <v>45.1</v>
      </c>
      <c r="I45" s="71">
        <f>E45*H45</f>
        <v/>
      </c>
      <c r="J45" s="70" t="inlineStr">
        <is>
          <t>M.R. MR000659</t>
        </is>
      </c>
    </row>
    <row r="46" ht="15" customHeight="1" s="66">
      <c r="A46" s="125" t="n">
        <v>42</v>
      </c>
      <c r="B46" s="125" t="inlineStr">
        <is>
          <t>Inj. Sumof / Cefoperazone 1g ×5</t>
        </is>
      </c>
      <c r="C46" s="125" t="n"/>
      <c r="D46" s="125" t="inlineStr">
        <is>
          <t>No.</t>
        </is>
      </c>
      <c r="E46" s="125" t="n">
        <v>5</v>
      </c>
      <c r="F46" s="125" t="inlineStr">
        <is>
          <t>⚠</t>
        </is>
      </c>
      <c r="G46" s="125" t="inlineStr">
        <is>
          <t>⚠</t>
        </is>
      </c>
      <c r="H46" s="125" t="inlineStr">
        <is>
          <t>⚠</t>
        </is>
      </c>
      <c r="I46" s="125" t="inlineStr">
        <is>
          <t>⚠</t>
        </is>
      </c>
      <c r="J46" s="125" t="inlineStr">
        <is>
          <t>⚠ MRP NOT FOUND — fill in manually</t>
        </is>
      </c>
    </row>
    <row r="47" ht="15" customHeight="1" s="66">
      <c r="A47" s="125" t="n">
        <v>43</v>
      </c>
      <c r="B47" s="125" t="inlineStr">
        <is>
          <t>Inj. Tramadol 50mg ×4</t>
        </is>
      </c>
      <c r="C47" s="125" t="n"/>
      <c r="D47" s="125" t="inlineStr">
        <is>
          <t>No.</t>
        </is>
      </c>
      <c r="E47" s="125" t="n">
        <v>4</v>
      </c>
      <c r="F47" s="125" t="n">
        <v>12.56</v>
      </c>
      <c r="G47" s="125" t="n">
        <v>50.24</v>
      </c>
      <c r="H47" s="125" t="n">
        <v>4.76</v>
      </c>
      <c r="I47" s="125" t="n">
        <v>19.04</v>
      </c>
      <c r="J47" s="125" t="inlineStr">
        <is>
          <t>Filled from stock/rate card</t>
        </is>
      </c>
    </row>
    <row r="48" ht="15" customHeight="1" s="66">
      <c r="A48" s="125" t="n">
        <v>44</v>
      </c>
      <c r="B48" s="125" t="inlineStr">
        <is>
          <t>Inj. Diclofenac AQ</t>
        </is>
      </c>
      <c r="C48" s="125" t="n"/>
      <c r="D48" s="125" t="inlineStr">
        <is>
          <t>No.</t>
        </is>
      </c>
      <c r="E48" s="125" t="n">
        <v>1</v>
      </c>
      <c r="F48" s="125" t="n">
        <v>23.8</v>
      </c>
      <c r="G48" s="125" t="n">
        <v>23.8</v>
      </c>
      <c r="H48" s="125" t="n">
        <v>8.57</v>
      </c>
      <c r="I48" s="125" t="n">
        <v>8.57</v>
      </c>
      <c r="J48" s="125" t="inlineStr">
        <is>
          <t>Filled from stock/rate card</t>
        </is>
      </c>
    </row>
    <row r="49" ht="15" customHeight="1" s="66">
      <c r="A49" s="70" t="n">
        <v>45</v>
      </c>
      <c r="B49" s="70" t="inlineStr">
        <is>
          <t>NS 100ml ×4</t>
        </is>
      </c>
      <c r="C49" s="70" t="n"/>
      <c r="D49" s="70" t="inlineStr">
        <is>
          <t>No.</t>
        </is>
      </c>
      <c r="E49" s="70" t="n">
        <v>4</v>
      </c>
      <c r="F49" s="71" t="n">
        <v>21</v>
      </c>
      <c r="G49" s="71">
        <f>E49*F49</f>
        <v/>
      </c>
      <c r="H49" s="71" t="n">
        <v>11.43</v>
      </c>
      <c r="I49" s="71">
        <f>E49*H49</f>
        <v/>
      </c>
      <c r="J49" s="70" t="inlineStr">
        <is>
          <t>S.S.B. S000645</t>
        </is>
      </c>
    </row>
    <row r="50" ht="15" customHeight="1" s="66">
      <c r="A50" s="126" t="inlineStr">
        <is>
          <t xml:space="preserve">  Subtotal — Consumables / Medicines</t>
        </is>
      </c>
      <c r="G50" s="127">
        <f>SUM(G5:G49)</f>
        <v/>
      </c>
      <c r="H50" s="128" t="n"/>
      <c r="I50" s="127">
        <f>SUM(I5:I49)</f>
        <v/>
      </c>
      <c r="J50" s="128" t="n"/>
    </row>
    <row r="52" ht="15" customHeight="1" s="66">
      <c r="A52" s="124" t="inlineStr">
        <is>
          <t xml:space="preserve">  SECTION B — ROOM / BED CHARGES</t>
        </is>
      </c>
    </row>
    <row r="53" ht="15" customHeight="1" s="66">
      <c r="A53" s="70" t="n">
        <v>1</v>
      </c>
      <c r="B53" s="70" t="inlineStr">
        <is>
          <t>Bed / Room Charges</t>
        </is>
      </c>
      <c r="C53" s="70" t="inlineStr">
        <is>
          <t>Ward</t>
        </is>
      </c>
      <c r="D53" s="70" t="inlineStr">
        <is>
          <t>Day</t>
        </is>
      </c>
      <c r="E53" s="70" t="n">
        <v>2</v>
      </c>
      <c r="F53" s="71" t="n">
        <v>1000</v>
      </c>
      <c r="G53" s="71">
        <f>E53*F53</f>
        <v/>
      </c>
      <c r="H53" s="70" t="inlineStr">
        <is>
          <t>—</t>
        </is>
      </c>
      <c r="I53" s="70" t="inlineStr">
        <is>
          <t>—</t>
        </is>
      </c>
      <c r="J53" s="70" t="inlineStr">
        <is>
          <t>Per sheet</t>
        </is>
      </c>
    </row>
    <row r="55" ht="15" customHeight="1" s="66">
      <c r="A55" s="124" t="inlineStr">
        <is>
          <t xml:space="preserve">  SECTION C — OT / PROCEDURE CHARGES</t>
        </is>
      </c>
    </row>
    <row r="56" ht="15" customHeight="1" s="66">
      <c r="A56" s="70" t="n">
        <v>1</v>
      </c>
      <c r="B56" s="70" t="inlineStr">
        <is>
          <t>OT / Procedure Charges</t>
        </is>
      </c>
      <c r="C56" s="70" t="inlineStr">
        <is>
          <t>Per procedure</t>
        </is>
      </c>
      <c r="D56" s="70" t="inlineStr">
        <is>
          <t>—</t>
        </is>
      </c>
      <c r="E56" s="70" t="n">
        <v>1</v>
      </c>
      <c r="F56" s="71" t="n">
        <v>1500</v>
      </c>
      <c r="G56" s="71">
        <f>E56*F56</f>
        <v/>
      </c>
      <c r="H56" s="70" t="inlineStr">
        <is>
          <t>—</t>
        </is>
      </c>
      <c r="I56" s="70" t="inlineStr">
        <is>
          <t>—</t>
        </is>
      </c>
      <c r="J56" s="70" t="inlineStr">
        <is>
          <t>Per sheet</t>
        </is>
      </c>
    </row>
    <row r="58" ht="15" customHeight="1" s="66">
      <c r="A58" s="72" t="inlineStr">
        <is>
          <t>GRAND TOTAL PATIENT BILL</t>
        </is>
      </c>
      <c r="G58" s="73">
        <f>G50+SUM(G53:G53)+SUM(G56:G56)</f>
        <v/>
      </c>
      <c r="H58" s="73">
        <f>I50</f>
        <v/>
      </c>
      <c r="I58" s="73">
        <f>G58-H58</f>
        <v/>
      </c>
      <c r="J58" s="72" t="inlineStr">
        <is>
          <t>Bill | Cost | Margin</t>
        </is>
      </c>
    </row>
  </sheetData>
  <mergeCells count="6">
    <mergeCell ref="A1:J1"/>
    <mergeCell ref="A3:J3"/>
    <mergeCell ref="A55:J55"/>
    <mergeCell ref="A58:F58"/>
    <mergeCell ref="A50:F50"/>
    <mergeCell ref="A52:J5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J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Payel Das</t>
        </is>
      </c>
      <c r="E2" s="123" t="inlineStr">
        <is>
          <t>Doctor: Dr. A. Digga</t>
        </is>
      </c>
      <c r="G2" s="123" t="inlineStr">
        <is>
          <t>Date: 07/07/2026</t>
        </is>
      </c>
      <c r="I2" s="123" t="inlineStr">
        <is>
          <t>Proc: Ward — Gynaecology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70" t="n">
        <v>1</v>
      </c>
      <c r="B5" s="70" t="inlineStr">
        <is>
          <t>IV Set (Sangoflex)</t>
        </is>
      </c>
      <c r="C5" s="70" t="n"/>
      <c r="D5" s="70" t="inlineStr">
        <is>
          <t>No.</t>
        </is>
      </c>
      <c r="E5" s="70" t="n">
        <v>1</v>
      </c>
      <c r="F5" s="71" t="n">
        <v>201</v>
      </c>
      <c r="G5" s="71">
        <f>E5*F5</f>
        <v/>
      </c>
      <c r="H5" s="71" t="n">
        <v>11.9</v>
      </c>
      <c r="I5" s="71">
        <f>E5*H5</f>
        <v/>
      </c>
      <c r="J5" s="70" t="inlineStr">
        <is>
          <t>S.S.B. S000400</t>
        </is>
      </c>
    </row>
    <row r="6" ht="15" customHeight="1" s="66">
      <c r="A6" s="70" t="n">
        <v>2</v>
      </c>
      <c r="B6" s="70" t="inlineStr">
        <is>
          <t>Inj. Xone 1g (Ceftriaxone) ×2</t>
        </is>
      </c>
      <c r="C6" s="70" t="n"/>
      <c r="D6" s="70" t="inlineStr">
        <is>
          <t>No.</t>
        </is>
      </c>
      <c r="E6" s="70" t="n">
        <v>2</v>
      </c>
      <c r="F6" s="71" t="n">
        <v>66.64</v>
      </c>
      <c r="G6" s="71">
        <f>E6*F6</f>
        <v/>
      </c>
      <c r="H6" s="71" t="n">
        <v>25.71</v>
      </c>
      <c r="I6" s="71">
        <f>E6*H6</f>
        <v/>
      </c>
      <c r="J6" s="70" t="inlineStr">
        <is>
          <t>S.S.B. S000135</t>
        </is>
      </c>
    </row>
    <row r="7" ht="15" customHeight="1" s="66">
      <c r="A7" s="129" t="n">
        <v>3</v>
      </c>
      <c r="B7" s="129" t="inlineStr">
        <is>
          <t>Inj. Ondem 2ml (Ondansetron) ×2</t>
        </is>
      </c>
      <c r="C7" s="129" t="n"/>
      <c r="D7" s="129" t="inlineStr">
        <is>
          <t>No.</t>
        </is>
      </c>
      <c r="E7" s="129" t="n">
        <v>2</v>
      </c>
      <c r="F7" s="130" t="n">
        <v>146.25</v>
      </c>
      <c r="G7" s="130">
        <f>E7*F7</f>
        <v/>
      </c>
      <c r="H7" s="130" t="n">
        <v>109.52</v>
      </c>
      <c r="I7" s="130">
        <f>E7*H7</f>
        <v/>
      </c>
      <c r="J7" s="129" t="inlineStr">
        <is>
          <t>⚠ MRP OUTLIER — verify batch; S.S.B. S000670</t>
        </is>
      </c>
    </row>
    <row r="8" ht="15" customHeight="1" s="66">
      <c r="A8" s="70" t="n">
        <v>4</v>
      </c>
      <c r="B8" s="70" t="inlineStr">
        <is>
          <t>Inj. PCM 100ml (Paracetamol IV)</t>
        </is>
      </c>
      <c r="C8" s="70" t="n"/>
      <c r="D8" s="70" t="inlineStr">
        <is>
          <t>No.</t>
        </is>
      </c>
      <c r="E8" s="70" t="n">
        <v>1</v>
      </c>
      <c r="F8" s="71" t="n">
        <v>591.5</v>
      </c>
      <c r="G8" s="71">
        <f>E8*F8</f>
        <v/>
      </c>
      <c r="H8" s="71" t="n">
        <v>35</v>
      </c>
      <c r="I8" s="71">
        <f>E8*H8</f>
        <v/>
      </c>
      <c r="J8" s="70" t="inlineStr">
        <is>
          <t>M.R. MR000519</t>
        </is>
      </c>
    </row>
    <row r="9" ht="15" customHeight="1" s="66">
      <c r="A9" s="70" t="n">
        <v>5</v>
      </c>
      <c r="B9" s="70" t="inlineStr">
        <is>
          <t>Syringe 10ml</t>
        </is>
      </c>
      <c r="C9" s="70" t="n"/>
      <c r="D9" s="70" t="inlineStr">
        <is>
          <t>No.</t>
        </is>
      </c>
      <c r="E9" s="70" t="n">
        <v>1</v>
      </c>
      <c r="F9" s="71" t="n">
        <v>13.3</v>
      </c>
      <c r="G9" s="71">
        <f>E9*F9</f>
        <v/>
      </c>
      <c r="H9" s="71" t="n">
        <v>5.3</v>
      </c>
      <c r="I9" s="71">
        <f>E9*H9</f>
        <v/>
      </c>
      <c r="J9" s="70" t="inlineStr">
        <is>
          <t>M.R. MR000753</t>
        </is>
      </c>
    </row>
    <row r="10" ht="15" customHeight="1" s="66">
      <c r="A10" s="125" t="n">
        <v>6</v>
      </c>
      <c r="B10" s="125" t="inlineStr">
        <is>
          <t>Needle 16G</t>
        </is>
      </c>
      <c r="C10" s="125" t="n"/>
      <c r="D10" s="125" t="inlineStr">
        <is>
          <t>No.</t>
        </is>
      </c>
      <c r="E10" s="125" t="n">
        <v>1</v>
      </c>
      <c r="F10" s="125" t="n">
        <v>3.38</v>
      </c>
      <c r="G10" s="125" t="n">
        <v>3.38</v>
      </c>
      <c r="H10" s="125" t="inlineStr">
        <is>
          <t>⚠</t>
        </is>
      </c>
      <c r="I10" s="125" t="inlineStr">
        <is>
          <t>⚠</t>
        </is>
      </c>
      <c r="J10" s="125" t="inlineStr">
        <is>
          <t>Filled from stock/rate card</t>
        </is>
      </c>
    </row>
    <row r="11" ht="15" customHeight="1" s="66">
      <c r="A11" s="70" t="n">
        <v>7</v>
      </c>
      <c r="B11" s="70" t="inlineStr">
        <is>
          <t>Syringe 5ml</t>
        </is>
      </c>
      <c r="C11" s="70" t="n"/>
      <c r="D11" s="70" t="inlineStr">
        <is>
          <t>No.</t>
        </is>
      </c>
      <c r="E11" s="70" t="n">
        <v>1</v>
      </c>
      <c r="F11" s="71" t="n">
        <v>10.23</v>
      </c>
      <c r="G11" s="71">
        <f>E11*F11</f>
        <v/>
      </c>
      <c r="H11" s="71" t="n">
        <v>3.5</v>
      </c>
      <c r="I11" s="71">
        <f>E11*H11</f>
        <v/>
      </c>
      <c r="J11" s="70" t="inlineStr">
        <is>
          <t>M.R. MR000539</t>
        </is>
      </c>
    </row>
    <row r="12" ht="15" customHeight="1" s="66">
      <c r="A12" s="70" t="n">
        <v>8</v>
      </c>
      <c r="B12" s="70" t="inlineStr">
        <is>
          <t>Inj. Pan 40 IV ×2</t>
        </is>
      </c>
      <c r="C12" s="70" t="n"/>
      <c r="D12" s="70" t="inlineStr">
        <is>
          <t>No.</t>
        </is>
      </c>
      <c r="E12" s="70" t="n">
        <v>2</v>
      </c>
      <c r="F12" s="71" t="n">
        <v>54.24</v>
      </c>
      <c r="G12" s="71">
        <f>E12*F12</f>
        <v/>
      </c>
      <c r="H12" s="71" t="n">
        <v>18</v>
      </c>
      <c r="I12" s="71">
        <f>E12*H12</f>
        <v/>
      </c>
      <c r="J12" s="70" t="inlineStr">
        <is>
          <t>M.R. MR000604</t>
        </is>
      </c>
    </row>
    <row r="13" ht="15" customHeight="1" s="66">
      <c r="A13" s="70" t="n">
        <v>9</v>
      </c>
      <c r="B13" s="70" t="inlineStr">
        <is>
          <t>Inj. Metrogyl</t>
        </is>
      </c>
      <c r="C13" s="70" t="n"/>
      <c r="D13" s="70" t="inlineStr">
        <is>
          <t>No.</t>
        </is>
      </c>
      <c r="E13" s="70" t="n">
        <v>3</v>
      </c>
      <c r="F13" s="71" t="n">
        <v>22.05</v>
      </c>
      <c r="G13" s="71">
        <f>E13*F13</f>
        <v/>
      </c>
      <c r="H13" s="71" t="n">
        <v>14.28</v>
      </c>
      <c r="I13" s="71">
        <f>E13*H13</f>
        <v/>
      </c>
      <c r="J13" s="70" t="inlineStr">
        <is>
          <t>M.R. MR000502</t>
        </is>
      </c>
    </row>
    <row r="14" ht="15" customHeight="1" s="66">
      <c r="A14" s="70" t="n">
        <v>10</v>
      </c>
      <c r="B14" s="70" t="inlineStr">
        <is>
          <t>Distilled Water 10ml</t>
        </is>
      </c>
      <c r="C14" s="70" t="n"/>
      <c r="D14" s="70" t="inlineStr">
        <is>
          <t>No.</t>
        </is>
      </c>
      <c r="E14" s="70" t="n">
        <v>1</v>
      </c>
      <c r="F14" s="71" t="n">
        <v>3.24</v>
      </c>
      <c r="G14" s="71">
        <f>E14*F14</f>
        <v/>
      </c>
      <c r="H14" s="71" t="n">
        <v>2.51</v>
      </c>
      <c r="I14" s="71">
        <f>E14*H14</f>
        <v/>
      </c>
      <c r="J14" s="70" t="inlineStr">
        <is>
          <t>Vivekananda F/747</t>
        </is>
      </c>
    </row>
    <row r="15" ht="15" customHeight="1" s="66">
      <c r="A15" s="70" t="n">
        <v>11</v>
      </c>
      <c r="B15" s="70" t="inlineStr">
        <is>
          <t>RL 500ml</t>
        </is>
      </c>
      <c r="C15" s="70" t="n"/>
      <c r="D15" s="70" t="inlineStr">
        <is>
          <t>No.</t>
        </is>
      </c>
      <c r="E15" s="70" t="n">
        <v>1</v>
      </c>
      <c r="F15" s="71" t="n">
        <v>59.31</v>
      </c>
      <c r="G15" s="71">
        <f>E15*F15</f>
        <v/>
      </c>
      <c r="H15" s="71" t="n">
        <v>18.57</v>
      </c>
      <c r="I15" s="71">
        <f>E15*H15</f>
        <v/>
      </c>
      <c r="J15" s="70" t="inlineStr">
        <is>
          <t>S.S.B. S000645</t>
        </is>
      </c>
    </row>
    <row r="16" ht="15" customHeight="1" s="66">
      <c r="A16" s="125" t="n">
        <v>12</v>
      </c>
      <c r="B16" s="125" t="inlineStr">
        <is>
          <t>Sterile Gauze — 4 Packets</t>
        </is>
      </c>
      <c r="C16" s="125" t="n"/>
      <c r="D16" s="125" t="inlineStr">
        <is>
          <t>No.</t>
        </is>
      </c>
      <c r="E16" s="125" t="n">
        <v>4</v>
      </c>
      <c r="F16" s="125" t="n">
        <v>14</v>
      </c>
      <c r="G16" s="125" t="n">
        <v>56</v>
      </c>
      <c r="H16" s="125" t="n">
        <v>5.46</v>
      </c>
      <c r="I16" s="125" t="n">
        <v>21.84</v>
      </c>
      <c r="J16" s="125" t="inlineStr">
        <is>
          <t>Filled from stock/rate card</t>
        </is>
      </c>
    </row>
    <row r="17" ht="15" customHeight="1" s="66">
      <c r="A17" s="70" t="n">
        <v>13</v>
      </c>
      <c r="B17" s="70" t="inlineStr">
        <is>
          <t>Betadine Ointment</t>
        </is>
      </c>
      <c r="C17" s="70" t="n"/>
      <c r="D17" s="70" t="inlineStr">
        <is>
          <t>No.</t>
        </is>
      </c>
      <c r="E17" s="70" t="n">
        <v>1</v>
      </c>
      <c r="F17" s="71" t="n">
        <v>132.3</v>
      </c>
      <c r="G17" s="71">
        <f>E17*F17</f>
        <v/>
      </c>
      <c r="H17" s="71" t="n">
        <v>113</v>
      </c>
      <c r="I17" s="71">
        <f>E17*H17</f>
        <v/>
      </c>
      <c r="J17" s="70" t="inlineStr">
        <is>
          <t>B.P. 393</t>
        </is>
      </c>
    </row>
    <row r="18" ht="15" customHeight="1" s="66">
      <c r="A18" s="70" t="n">
        <v>14</v>
      </c>
      <c r="B18" s="70" t="inlineStr">
        <is>
          <t>Betadine Lotion 100ml</t>
        </is>
      </c>
      <c r="C18" s="70" t="n"/>
      <c r="D18" s="70" t="inlineStr">
        <is>
          <t>No.</t>
        </is>
      </c>
      <c r="E18" s="70" t="n">
        <v>1</v>
      </c>
      <c r="F18" s="71" t="n">
        <v>151.33</v>
      </c>
      <c r="G18" s="71">
        <f>E18*F18</f>
        <v/>
      </c>
      <c r="H18" s="71" t="n">
        <v>85.70999999999999</v>
      </c>
      <c r="I18" s="71">
        <f>E18*H18</f>
        <v/>
      </c>
      <c r="J18" s="70" t="inlineStr">
        <is>
          <t>S.S.B. S000645</t>
        </is>
      </c>
    </row>
    <row r="19" ht="15" customHeight="1" s="66">
      <c r="A19" s="126" t="inlineStr">
        <is>
          <t xml:space="preserve">  Subtotal — Consumables / Medicines</t>
        </is>
      </c>
      <c r="G19" s="127">
        <f>SUM(G5:G18)</f>
        <v/>
      </c>
      <c r="H19" s="128" t="n"/>
      <c r="I19" s="127">
        <f>SUM(I5:I18)</f>
        <v/>
      </c>
      <c r="J19" s="128" t="n"/>
    </row>
    <row r="21" ht="15" customHeight="1" s="66">
      <c r="A21" s="124" t="inlineStr">
        <is>
          <t xml:space="preserve">  SECTION B — ROOM / BED CHARGES</t>
        </is>
      </c>
    </row>
    <row r="22" ht="15" customHeight="1" s="66">
      <c r="A22" s="70" t="n">
        <v>1</v>
      </c>
      <c r="B22" s="70" t="inlineStr">
        <is>
          <t>Bed / Room Charges</t>
        </is>
      </c>
      <c r="C22" s="70" t="inlineStr">
        <is>
          <t>Ward</t>
        </is>
      </c>
      <c r="D22" s="70" t="inlineStr">
        <is>
          <t>Day</t>
        </is>
      </c>
      <c r="E22" s="70" t="n">
        <v>1</v>
      </c>
      <c r="F22" s="71" t="n">
        <v>1000</v>
      </c>
      <c r="G22" s="71">
        <f>E22*F22</f>
        <v/>
      </c>
      <c r="H22" s="70" t="inlineStr">
        <is>
          <t>—</t>
        </is>
      </c>
      <c r="I22" s="70" t="inlineStr">
        <is>
          <t>—</t>
        </is>
      </c>
      <c r="J22" s="70" t="inlineStr">
        <is>
          <t>Per sheet</t>
        </is>
      </c>
    </row>
    <row r="24" ht="15" customHeight="1" s="66">
      <c r="A24" s="124" t="inlineStr">
        <is>
          <t xml:space="preserve">  SECTION C — OT / PROCEDURE CHARGES</t>
        </is>
      </c>
    </row>
    <row r="25" ht="15" customHeight="1" s="66">
      <c r="A25" s="70" t="n">
        <v>1</v>
      </c>
      <c r="B25" s="70" t="inlineStr">
        <is>
          <t>OT / Procedure Charges</t>
        </is>
      </c>
      <c r="C25" s="70" t="inlineStr">
        <is>
          <t>Per procedure</t>
        </is>
      </c>
      <c r="D25" s="70" t="inlineStr">
        <is>
          <t>—</t>
        </is>
      </c>
      <c r="E25" s="70" t="n">
        <v>1</v>
      </c>
      <c r="F25" s="71" t="n">
        <v>1500</v>
      </c>
      <c r="G25" s="71">
        <f>E25*F25</f>
        <v/>
      </c>
      <c r="H25" s="70" t="inlineStr">
        <is>
          <t>—</t>
        </is>
      </c>
      <c r="I25" s="70" t="inlineStr">
        <is>
          <t>—</t>
        </is>
      </c>
      <c r="J25" s="70" t="inlineStr">
        <is>
          <t>Per sheet</t>
        </is>
      </c>
    </row>
    <row r="27" ht="15" customHeight="1" s="66">
      <c r="A27" s="72" t="inlineStr">
        <is>
          <t>GRAND TOTAL PATIENT BILL</t>
        </is>
      </c>
      <c r="G27" s="73">
        <f>G19+SUM(G22:G22)+SUM(G25:G25)</f>
        <v/>
      </c>
      <c r="H27" s="73">
        <f>I19</f>
        <v/>
      </c>
      <c r="I27" s="73">
        <f>G27-H27</f>
        <v/>
      </c>
      <c r="J27" s="72" t="inlineStr">
        <is>
          <t>Bill | Cost | Margin</t>
        </is>
      </c>
    </row>
  </sheetData>
  <mergeCells count="6">
    <mergeCell ref="A1:J1"/>
    <mergeCell ref="A19:F19"/>
    <mergeCell ref="A3:J3"/>
    <mergeCell ref="A27:F27"/>
    <mergeCell ref="A21:J21"/>
    <mergeCell ref="A24:J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Mainuddin Molla</t>
        </is>
      </c>
      <c r="E2" s="123" t="inlineStr">
        <is>
          <t>Doctor: Dr. K. Digga</t>
        </is>
      </c>
      <c r="G2" s="123" t="inlineStr">
        <is>
          <t>Date: 07/07/2026</t>
        </is>
      </c>
      <c r="I2" s="123" t="inlineStr">
        <is>
          <t>Proc: Radius + Ulna Bone Fixation — Block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70" t="n">
        <v>1</v>
      </c>
      <c r="B5" s="70" t="inlineStr">
        <is>
          <t>IV Cannula 20G (Vonflon)</t>
        </is>
      </c>
      <c r="C5" s="70" t="n"/>
      <c r="D5" s="70" t="inlineStr">
        <is>
          <t>No.</t>
        </is>
      </c>
      <c r="E5" s="70" t="n">
        <v>1</v>
      </c>
      <c r="F5" s="71" t="n">
        <v>198</v>
      </c>
      <c r="G5" s="71">
        <f>E5*F5</f>
        <v/>
      </c>
      <c r="H5" s="71" t="n">
        <v>7.14</v>
      </c>
      <c r="I5" s="71">
        <f>E5*H5</f>
        <v/>
      </c>
      <c r="J5" s="70" t="inlineStr">
        <is>
          <t>S.S.B. S000399</t>
        </is>
      </c>
    </row>
    <row r="6" ht="15" customHeight="1" s="66">
      <c r="A6" s="70" t="n">
        <v>2</v>
      </c>
      <c r="B6" s="70" t="inlineStr">
        <is>
          <t>Inj. 2% Xylocaine Adrenaline 20ml (Block)</t>
        </is>
      </c>
      <c r="C6" s="70" t="n"/>
      <c r="D6" s="70" t="inlineStr">
        <is>
          <t>No.</t>
        </is>
      </c>
      <c r="E6" s="70" t="n">
        <v>1</v>
      </c>
      <c r="F6" s="71" t="n">
        <v>34.58</v>
      </c>
      <c r="G6" s="71">
        <f>E6*F6</f>
        <v/>
      </c>
      <c r="H6" s="71" t="n">
        <v>27</v>
      </c>
      <c r="I6" s="71">
        <f>E6*H6</f>
        <v/>
      </c>
      <c r="J6" s="70" t="inlineStr">
        <is>
          <t>Vivekananda F/748</t>
        </is>
      </c>
    </row>
    <row r="7" ht="15" customHeight="1" s="66">
      <c r="A7" s="70" t="n">
        <v>3</v>
      </c>
      <c r="B7" s="70" t="inlineStr">
        <is>
          <t>Syringe 5cc ×4</t>
        </is>
      </c>
      <c r="C7" s="70" t="n"/>
      <c r="D7" s="70" t="inlineStr">
        <is>
          <t>No.</t>
        </is>
      </c>
      <c r="E7" s="70" t="n">
        <v>4</v>
      </c>
      <c r="F7" s="71" t="n">
        <v>10.23</v>
      </c>
      <c r="G7" s="71">
        <f>E7*F7</f>
        <v/>
      </c>
      <c r="H7" s="71" t="n">
        <v>3.5</v>
      </c>
      <c r="I7" s="71">
        <f>E7*H7</f>
        <v/>
      </c>
      <c r="J7" s="70" t="inlineStr">
        <is>
          <t>M.R. MR000539</t>
        </is>
      </c>
    </row>
    <row r="8" ht="15" customHeight="1" s="66">
      <c r="A8" s="70" t="n">
        <v>4</v>
      </c>
      <c r="B8" s="70" t="inlineStr">
        <is>
          <t>Syringe 10cc ×4</t>
        </is>
      </c>
      <c r="C8" s="70" t="n"/>
      <c r="D8" s="70" t="inlineStr">
        <is>
          <t>No.</t>
        </is>
      </c>
      <c r="E8" s="70" t="n">
        <v>4</v>
      </c>
      <c r="F8" s="71" t="n">
        <v>13.3</v>
      </c>
      <c r="G8" s="71">
        <f>E8*F8</f>
        <v/>
      </c>
      <c r="H8" s="71" t="n">
        <v>5.3</v>
      </c>
      <c r="I8" s="71">
        <f>E8*H8</f>
        <v/>
      </c>
      <c r="J8" s="70" t="inlineStr">
        <is>
          <t>M.R. MR000753</t>
        </is>
      </c>
    </row>
    <row r="9" ht="15" customHeight="1" s="66">
      <c r="A9" s="70" t="n">
        <v>5</v>
      </c>
      <c r="B9" s="70" t="inlineStr">
        <is>
          <t>Distilled Water 10ml ×5</t>
        </is>
      </c>
      <c r="C9" s="70" t="n"/>
      <c r="D9" s="70" t="inlineStr">
        <is>
          <t>No.</t>
        </is>
      </c>
      <c r="E9" s="70" t="n">
        <v>5</v>
      </c>
      <c r="F9" s="71" t="n">
        <v>3.24</v>
      </c>
      <c r="G9" s="71">
        <f>E9*F9</f>
        <v/>
      </c>
      <c r="H9" s="71" t="n">
        <v>2.51</v>
      </c>
      <c r="I9" s="71">
        <f>E9*H9</f>
        <v/>
      </c>
      <c r="J9" s="70" t="inlineStr">
        <is>
          <t>Vivekananda F/747</t>
        </is>
      </c>
    </row>
    <row r="10" ht="15" customHeight="1" s="66">
      <c r="A10" s="129" t="n">
        <v>6</v>
      </c>
      <c r="B10" s="129" t="inlineStr">
        <is>
          <t>Inj. Zofar 2ml (Ondansetron)</t>
        </is>
      </c>
      <c r="C10" s="129" t="n"/>
      <c r="D10" s="129" t="inlineStr">
        <is>
          <t>No.</t>
        </is>
      </c>
      <c r="E10" s="129" t="n">
        <v>1</v>
      </c>
      <c r="F10" s="130" t="n">
        <v>146.25</v>
      </c>
      <c r="G10" s="130">
        <f>E10*F10</f>
        <v/>
      </c>
      <c r="H10" s="130" t="n">
        <v>109.52</v>
      </c>
      <c r="I10" s="130">
        <f>E10*H10</f>
        <v/>
      </c>
      <c r="J10" s="129" t="inlineStr">
        <is>
          <t>⚠ MRP OUTLIER — verify batch; S.S.B. S000670</t>
        </is>
      </c>
    </row>
    <row r="11" ht="15" customHeight="1" s="66">
      <c r="A11" s="70" t="n">
        <v>7</v>
      </c>
      <c r="B11" s="70" t="inlineStr">
        <is>
          <t>Inj. Midazolam 2.5ml</t>
        </is>
      </c>
      <c r="C11" s="70" t="n"/>
      <c r="D11" s="70" t="inlineStr">
        <is>
          <t>No.</t>
        </is>
      </c>
      <c r="E11" s="70" t="n">
        <v>1</v>
      </c>
      <c r="F11" s="71" t="n">
        <v>31.03</v>
      </c>
      <c r="G11" s="71">
        <f>E11*F11</f>
        <v/>
      </c>
      <c r="H11" s="71" t="n">
        <v>23.81</v>
      </c>
      <c r="I11" s="71">
        <f>E11*H11</f>
        <v/>
      </c>
      <c r="J11" s="70" t="inlineStr">
        <is>
          <t>S.S.B. S000092</t>
        </is>
      </c>
    </row>
    <row r="12" ht="15" customHeight="1" s="66">
      <c r="A12" s="70" t="n">
        <v>8</v>
      </c>
      <c r="B12" s="70" t="inlineStr">
        <is>
          <t>Inj Dexona</t>
        </is>
      </c>
      <c r="C12" s="70" t="n"/>
      <c r="D12" s="70" t="inlineStr">
        <is>
          <t>No.</t>
        </is>
      </c>
      <c r="E12" s="70" t="n">
        <v>1</v>
      </c>
      <c r="F12" s="71" t="n">
        <v>10.87</v>
      </c>
      <c r="G12" s="71">
        <f>E12*F12</f>
        <v/>
      </c>
      <c r="H12" s="71" t="n">
        <v>8.279999999999999</v>
      </c>
      <c r="I12" s="71">
        <f>E12*H12</f>
        <v/>
      </c>
      <c r="J12" s="70" t="inlineStr">
        <is>
          <t>S.S.B. S000135</t>
        </is>
      </c>
    </row>
    <row r="13" ht="15" customHeight="1" s="66">
      <c r="A13" s="70" t="n">
        <v>9</v>
      </c>
      <c r="B13" s="70" t="inlineStr">
        <is>
          <t>Inj. Anawin 0.5% 20ml (Bupivacaine)</t>
        </is>
      </c>
      <c r="C13" s="70" t="n"/>
      <c r="D13" s="70" t="inlineStr">
        <is>
          <t>No.</t>
        </is>
      </c>
      <c r="E13" s="70" t="n">
        <v>1</v>
      </c>
      <c r="F13" s="71" t="n">
        <v>33.3</v>
      </c>
      <c r="G13" s="71">
        <f>E13*F13</f>
        <v/>
      </c>
      <c r="H13" s="71" t="n">
        <v>25.24</v>
      </c>
      <c r="I13" s="71">
        <f>E13*H13</f>
        <v/>
      </c>
      <c r="J13" s="70" t="inlineStr">
        <is>
          <t>S.S.B. S000645</t>
        </is>
      </c>
    </row>
    <row r="14" ht="15" customHeight="1" s="66">
      <c r="A14" s="70" t="n">
        <v>10</v>
      </c>
      <c r="B14" s="70" t="inlineStr">
        <is>
          <t>Inj. Ketamine 10ml</t>
        </is>
      </c>
      <c r="C14" s="70" t="n"/>
      <c r="D14" s="70" t="inlineStr">
        <is>
          <t>No.</t>
        </is>
      </c>
      <c r="E14" s="70" t="n">
        <v>1</v>
      </c>
      <c r="F14" s="71" t="n">
        <v>250</v>
      </c>
      <c r="G14" s="71">
        <f>E14*F14</f>
        <v/>
      </c>
      <c r="H14" s="71" t="n">
        <v>200</v>
      </c>
      <c r="I14" s="71">
        <f>E14*H14</f>
        <v/>
      </c>
      <c r="J14" s="70" t="inlineStr">
        <is>
          <t>manual</t>
        </is>
      </c>
    </row>
    <row r="15" ht="15" customHeight="1" s="66">
      <c r="A15" s="125" t="n">
        <v>11</v>
      </c>
      <c r="B15" s="125" t="inlineStr">
        <is>
          <t>Inj. Propofol 10ml</t>
        </is>
      </c>
      <c r="C15" s="125" t="n"/>
      <c r="D15" s="125" t="inlineStr">
        <is>
          <t>No.</t>
        </is>
      </c>
      <c r="E15" s="125" t="n">
        <v>1</v>
      </c>
      <c r="F15" s="125" t="n">
        <v>72.2</v>
      </c>
      <c r="G15" s="125" t="n">
        <v>72.2</v>
      </c>
      <c r="H15" s="125" t="n">
        <v>50.54</v>
      </c>
      <c r="I15" s="125" t="n">
        <v>50.54</v>
      </c>
      <c r="J15" s="125" t="inlineStr">
        <is>
          <t>Filled from stock/rate card</t>
        </is>
      </c>
    </row>
    <row r="16" ht="15" customHeight="1" s="66">
      <c r="A16" s="125" t="n">
        <v>12</v>
      </c>
      <c r="B16" s="125" t="inlineStr">
        <is>
          <t>Gauze Pieces ×30</t>
        </is>
      </c>
      <c r="C16" s="125" t="n"/>
      <c r="D16" s="125" t="inlineStr">
        <is>
          <t>No.</t>
        </is>
      </c>
      <c r="E16" s="125" t="n">
        <v>30</v>
      </c>
      <c r="F16" s="125" t="n">
        <v>14</v>
      </c>
      <c r="G16" s="125" t="n">
        <v>420</v>
      </c>
      <c r="H16" s="125" t="n">
        <v>5.46</v>
      </c>
      <c r="I16" s="125" t="n">
        <v>163.8</v>
      </c>
      <c r="J16" s="125" t="inlineStr">
        <is>
          <t>Filled from stock/rate card</t>
        </is>
      </c>
    </row>
    <row r="17" ht="15" customHeight="1" s="66">
      <c r="A17" s="70" t="n">
        <v>13</v>
      </c>
      <c r="B17" s="70" t="inlineStr">
        <is>
          <t>OT Mop / Abd. Swab</t>
        </is>
      </c>
      <c r="C17" s="70" t="n"/>
      <c r="D17" s="70" t="inlineStr">
        <is>
          <t>No.</t>
        </is>
      </c>
      <c r="E17" s="70" t="n">
        <v>1</v>
      </c>
      <c r="F17" s="71" t="n">
        <v>95</v>
      </c>
      <c r="G17" s="71">
        <f>E17*F17</f>
        <v/>
      </c>
      <c r="H17" s="71" t="n">
        <v>40.15</v>
      </c>
      <c r="I17" s="71">
        <f>E17*H17</f>
        <v/>
      </c>
      <c r="J17" s="70" t="inlineStr">
        <is>
          <t>B.P. 349</t>
        </is>
      </c>
    </row>
    <row r="18" ht="15" customHeight="1" s="66">
      <c r="A18" s="70" t="n">
        <v>14</v>
      </c>
      <c r="B18" s="70" t="inlineStr">
        <is>
          <t>Roller Bandage 6" ×3</t>
        </is>
      </c>
      <c r="C18" s="70" t="n"/>
      <c r="D18" s="70" t="inlineStr">
        <is>
          <t>No.</t>
        </is>
      </c>
      <c r="E18" s="70" t="n">
        <v>3</v>
      </c>
      <c r="F18" s="71" t="n">
        <v>124</v>
      </c>
      <c r="G18" s="71">
        <f>E18*F18</f>
        <v/>
      </c>
      <c r="H18" s="71" t="n">
        <v>78</v>
      </c>
      <c r="I18" s="71">
        <f>E18*H18</f>
        <v/>
      </c>
      <c r="J18" s="70" t="inlineStr">
        <is>
          <t>B.P. 340</t>
        </is>
      </c>
    </row>
    <row r="19" ht="15" customHeight="1" s="66">
      <c r="A19" s="70" t="n">
        <v>15</v>
      </c>
      <c r="B19" s="70" t="inlineStr">
        <is>
          <t>Roller Bandage 4" ×2</t>
        </is>
      </c>
      <c r="C19" s="70" t="n"/>
      <c r="D19" s="70" t="inlineStr">
        <is>
          <t>No.</t>
        </is>
      </c>
      <c r="E19" s="70" t="n">
        <v>2</v>
      </c>
      <c r="F19" s="71" t="n">
        <v>124</v>
      </c>
      <c r="G19" s="71">
        <f>E19*F19</f>
        <v/>
      </c>
      <c r="H19" s="71" t="n">
        <v>78</v>
      </c>
      <c r="I19" s="71">
        <f>E19*H19</f>
        <v/>
      </c>
      <c r="J19" s="70" t="inlineStr">
        <is>
          <t>B.P. 340</t>
        </is>
      </c>
    </row>
    <row r="20" ht="15" customHeight="1" s="66">
      <c r="A20" s="125" t="n">
        <v>16</v>
      </c>
      <c r="B20" s="125" t="inlineStr">
        <is>
          <t>Gamze Roll</t>
        </is>
      </c>
      <c r="C20" s="125" t="n"/>
      <c r="D20" s="125" t="inlineStr">
        <is>
          <t>No.</t>
        </is>
      </c>
      <c r="E20" s="125" t="n">
        <v>1</v>
      </c>
      <c r="F20" s="125" t="n">
        <v>250</v>
      </c>
      <c r="G20" s="125" t="n">
        <v>250</v>
      </c>
      <c r="H20" s="125" t="n">
        <v>80</v>
      </c>
      <c r="I20" s="125" t="n">
        <v>80</v>
      </c>
      <c r="J20" s="125" t="inlineStr">
        <is>
          <t>Filled from stock/rate card</t>
        </is>
      </c>
    </row>
    <row r="21" ht="15" customHeight="1" s="66">
      <c r="A21" s="125" t="n">
        <v>17</v>
      </c>
      <c r="B21" s="125" t="inlineStr">
        <is>
          <t>Sterilium 50ml</t>
        </is>
      </c>
      <c r="C21" s="125" t="n"/>
      <c r="D21" s="125" t="inlineStr">
        <is>
          <t>No.</t>
        </is>
      </c>
      <c r="E21" s="125" t="n">
        <v>1</v>
      </c>
      <c r="F21" s="125" t="n">
        <v>150</v>
      </c>
      <c r="G21" s="125" t="n">
        <v>150</v>
      </c>
      <c r="H21" s="125" t="n">
        <v>38.1</v>
      </c>
      <c r="I21" s="125" t="n">
        <v>38.1</v>
      </c>
      <c r="J21" s="125" t="inlineStr">
        <is>
          <t>Filled from stock/rate card</t>
        </is>
      </c>
    </row>
    <row r="22" ht="15" customHeight="1" s="66">
      <c r="A22" s="70" t="n">
        <v>18</v>
      </c>
      <c r="B22" s="70" t="inlineStr">
        <is>
          <t>Gloves 7.0 ×5</t>
        </is>
      </c>
      <c r="C22" s="70" t="n"/>
      <c r="D22" s="70" t="inlineStr">
        <is>
          <t>No.</t>
        </is>
      </c>
      <c r="E22" s="70" t="n">
        <v>5</v>
      </c>
      <c r="F22" s="71" t="n">
        <v>91</v>
      </c>
      <c r="G22" s="71">
        <f>E22*F22</f>
        <v/>
      </c>
      <c r="H22" s="71" t="n">
        <v>19.06</v>
      </c>
      <c r="I22" s="71">
        <f>E22*H22</f>
        <v/>
      </c>
      <c r="J22" s="70" t="inlineStr">
        <is>
          <t>Vivekananda F/747</t>
        </is>
      </c>
    </row>
    <row r="23" ht="15" customHeight="1" s="66">
      <c r="A23" s="70" t="n">
        <v>19</v>
      </c>
      <c r="B23" s="70" t="inlineStr">
        <is>
          <t>Gloves 6.5</t>
        </is>
      </c>
      <c r="C23" s="70" t="n"/>
      <c r="D23" s="70" t="inlineStr">
        <is>
          <t>No.</t>
        </is>
      </c>
      <c r="E23" s="70" t="n">
        <v>1</v>
      </c>
      <c r="F23" s="71" t="n">
        <v>91</v>
      </c>
      <c r="G23" s="71">
        <f>E23*F23</f>
        <v/>
      </c>
      <c r="H23" s="71" t="n">
        <v>19.06</v>
      </c>
      <c r="I23" s="71">
        <f>E23*H23</f>
        <v/>
      </c>
      <c r="J23" s="70" t="inlineStr">
        <is>
          <t>Vivekananda F/747</t>
        </is>
      </c>
    </row>
    <row r="24" ht="15" customHeight="1" s="66">
      <c r="A24" s="125" t="n">
        <v>20</v>
      </c>
      <c r="B24" s="125" t="inlineStr">
        <is>
          <t>Suture Ethilon 2-0 (SN3336)</t>
        </is>
      </c>
      <c r="C24" s="125" t="n"/>
      <c r="D24" s="125" t="inlineStr">
        <is>
          <t>No.</t>
        </is>
      </c>
      <c r="E24" s="125" t="n">
        <v>1</v>
      </c>
      <c r="F24" s="125" t="n">
        <v>277</v>
      </c>
      <c r="G24" s="125" t="n">
        <v>277</v>
      </c>
      <c r="H24" s="125" t="n">
        <v>49.52</v>
      </c>
      <c r="I24" s="125" t="n">
        <v>49.52</v>
      </c>
      <c r="J24" s="125" t="inlineStr">
        <is>
          <t>Filled from stock/rate card</t>
        </is>
      </c>
    </row>
    <row r="25" ht="15" customHeight="1" s="66">
      <c r="A25" s="70" t="n">
        <v>21</v>
      </c>
      <c r="B25" s="70" t="inlineStr">
        <is>
          <t>NS 500ml ×4</t>
        </is>
      </c>
      <c r="C25" s="70" t="n"/>
      <c r="D25" s="70" t="inlineStr">
        <is>
          <t>No.</t>
        </is>
      </c>
      <c r="E25" s="70" t="n">
        <v>4</v>
      </c>
      <c r="F25" s="71" t="n">
        <v>36.6</v>
      </c>
      <c r="G25" s="71">
        <f>E25*F25</f>
        <v/>
      </c>
      <c r="H25" s="71" t="n">
        <v>17.62</v>
      </c>
      <c r="I25" s="71">
        <f>E25*H25</f>
        <v/>
      </c>
      <c r="J25" s="70" t="inlineStr">
        <is>
          <t>S.S.B. S000645</t>
        </is>
      </c>
    </row>
    <row r="26" ht="15" customHeight="1" s="66">
      <c r="A26" s="70" t="n">
        <v>22</v>
      </c>
      <c r="B26" s="70" t="inlineStr">
        <is>
          <t>Plain Sheet (OT Draping)</t>
        </is>
      </c>
      <c r="C26" s="70" t="n"/>
      <c r="D26" s="70" t="inlineStr">
        <is>
          <t>No.</t>
        </is>
      </c>
      <c r="E26" s="70" t="n">
        <v>1</v>
      </c>
      <c r="F26" s="71" t="n">
        <v>119.5</v>
      </c>
      <c r="G26" s="71">
        <f>E26*F26</f>
        <v/>
      </c>
      <c r="H26" s="71" t="n">
        <v>57.96</v>
      </c>
      <c r="I26" s="71">
        <f>E26*H26</f>
        <v/>
      </c>
      <c r="J26" s="70" t="inlineStr">
        <is>
          <t>M.R. MR000352</t>
        </is>
      </c>
    </row>
    <row r="27" ht="15" customHeight="1" s="66">
      <c r="A27" s="70" t="n">
        <v>23</v>
      </c>
      <c r="B27" s="70" t="inlineStr">
        <is>
          <t>Betadine Lotion 100ml</t>
        </is>
      </c>
      <c r="C27" s="70" t="n"/>
      <c r="D27" s="70" t="inlineStr">
        <is>
          <t>No.</t>
        </is>
      </c>
      <c r="E27" s="70" t="n">
        <v>1</v>
      </c>
      <c r="F27" s="71" t="n">
        <v>151.33</v>
      </c>
      <c r="G27" s="71">
        <f>E27*F27</f>
        <v/>
      </c>
      <c r="H27" s="71" t="n">
        <v>85.70999999999999</v>
      </c>
      <c r="I27" s="71">
        <f>E27*H27</f>
        <v/>
      </c>
      <c r="J27" s="70" t="inlineStr">
        <is>
          <t>S.S.B. S000645</t>
        </is>
      </c>
    </row>
    <row r="28" ht="15" customHeight="1" s="66">
      <c r="A28" s="70" t="n">
        <v>24</v>
      </c>
      <c r="B28" s="70" t="inlineStr">
        <is>
          <t>Betadine Scrub 100ml</t>
        </is>
      </c>
      <c r="C28" s="70" t="n"/>
      <c r="D28" s="70" t="inlineStr">
        <is>
          <t>No.</t>
        </is>
      </c>
      <c r="E28" s="70" t="n">
        <v>1</v>
      </c>
      <c r="F28" s="71" t="n">
        <v>151.33</v>
      </c>
      <c r="G28" s="71">
        <f>E28*F28</f>
        <v/>
      </c>
      <c r="H28" s="71" t="n">
        <v>85.70999999999999</v>
      </c>
      <c r="I28" s="71">
        <f>E28*H28</f>
        <v/>
      </c>
      <c r="J28" s="70" t="inlineStr">
        <is>
          <t>S.S.B. S000645</t>
        </is>
      </c>
    </row>
    <row r="29" ht="15" customHeight="1" s="66">
      <c r="A29" s="125" t="n">
        <v>25</v>
      </c>
      <c r="B29" s="125" t="inlineStr">
        <is>
          <t>Surgical Blade No. 10</t>
        </is>
      </c>
      <c r="C29" s="125" t="n"/>
      <c r="D29" s="125" t="inlineStr">
        <is>
          <t>No.</t>
        </is>
      </c>
      <c r="E29" s="125" t="n">
        <v>1</v>
      </c>
      <c r="F29" s="125" t="n">
        <v>750</v>
      </c>
      <c r="G29" s="125" t="n">
        <v>750</v>
      </c>
      <c r="H29" s="125" t="inlineStr">
        <is>
          <t>⚠</t>
        </is>
      </c>
      <c r="I29" s="125" t="inlineStr">
        <is>
          <t>⚠</t>
        </is>
      </c>
      <c r="J29" s="125" t="inlineStr">
        <is>
          <t>MRP filled; cost ⚠</t>
        </is>
      </c>
    </row>
    <row r="30" ht="15" customHeight="1" s="66">
      <c r="A30" s="125" t="n">
        <v>26</v>
      </c>
      <c r="B30" s="125" t="inlineStr">
        <is>
          <t>Surgical Blade No. 20</t>
        </is>
      </c>
      <c r="C30" s="125" t="n"/>
      <c r="D30" s="125" t="inlineStr">
        <is>
          <t>No.</t>
        </is>
      </c>
      <c r="E30" s="125" t="n">
        <v>1</v>
      </c>
      <c r="F30" s="125" t="n">
        <v>750</v>
      </c>
      <c r="G30" s="125" t="n">
        <v>750</v>
      </c>
      <c r="H30" s="125" t="inlineStr">
        <is>
          <t>⚠</t>
        </is>
      </c>
      <c r="I30" s="125" t="inlineStr">
        <is>
          <t>⚠</t>
        </is>
      </c>
      <c r="J30" s="125" t="inlineStr">
        <is>
          <t>MRP filled; cost ⚠</t>
        </is>
      </c>
    </row>
    <row r="31" ht="15" customHeight="1" s="66">
      <c r="A31" s="70" t="n">
        <v>27</v>
      </c>
      <c r="B31" s="70" t="inlineStr">
        <is>
          <t>IV Cannula 18G</t>
        </is>
      </c>
      <c r="C31" s="70" t="n"/>
      <c r="D31" s="70" t="inlineStr">
        <is>
          <t>No.</t>
        </is>
      </c>
      <c r="E31" s="70" t="n">
        <v>1</v>
      </c>
      <c r="F31" s="71" t="n">
        <v>321</v>
      </c>
      <c r="G31" s="71">
        <f>E31*F31</f>
        <v/>
      </c>
      <c r="H31" s="71" t="n">
        <v>55</v>
      </c>
      <c r="I31" s="71">
        <f>E31*H31</f>
        <v/>
      </c>
      <c r="J31" s="70" t="inlineStr">
        <is>
          <t>Vivekananda F/684</t>
        </is>
      </c>
    </row>
    <row r="32" ht="15" customHeight="1" s="66">
      <c r="A32" s="70" t="n">
        <v>28</v>
      </c>
      <c r="B32" s="70" t="inlineStr">
        <is>
          <t>IV Set (Sangoflex)</t>
        </is>
      </c>
      <c r="C32" s="70" t="n"/>
      <c r="D32" s="70" t="inlineStr">
        <is>
          <t>No.</t>
        </is>
      </c>
      <c r="E32" s="70" t="n">
        <v>1</v>
      </c>
      <c r="F32" s="71" t="n">
        <v>201</v>
      </c>
      <c r="G32" s="71">
        <f>E32*F32</f>
        <v/>
      </c>
      <c r="H32" s="71" t="n">
        <v>11.9</v>
      </c>
      <c r="I32" s="71">
        <f>E32*H32</f>
        <v/>
      </c>
      <c r="J32" s="70" t="inlineStr">
        <is>
          <t>S.S.B. S000400</t>
        </is>
      </c>
    </row>
    <row r="33" ht="15" customHeight="1" s="66">
      <c r="A33" s="70" t="n">
        <v>29</v>
      </c>
      <c r="B33" s="70" t="inlineStr">
        <is>
          <t>Easyfix</t>
        </is>
      </c>
      <c r="C33" s="70" t="n"/>
      <c r="D33" s="70" t="inlineStr">
        <is>
          <t>No.</t>
        </is>
      </c>
      <c r="E33" s="70" t="n">
        <v>1</v>
      </c>
      <c r="F33" s="71" t="n">
        <v>80.59999999999999</v>
      </c>
      <c r="G33" s="71">
        <f>E33*F33</f>
        <v/>
      </c>
      <c r="H33" s="71" t="n">
        <v>42.86</v>
      </c>
      <c r="I33" s="71">
        <f>E33*H33</f>
        <v/>
      </c>
      <c r="J33" s="70" t="inlineStr">
        <is>
          <t>S.S.B. S000293</t>
        </is>
      </c>
    </row>
    <row r="34" ht="15" customHeight="1" s="66">
      <c r="A34" s="70" t="n">
        <v>30</v>
      </c>
      <c r="B34" s="70" t="inlineStr">
        <is>
          <t>RL 500ml</t>
        </is>
      </c>
      <c r="C34" s="70" t="n"/>
      <c r="D34" s="70" t="inlineStr">
        <is>
          <t>No.</t>
        </is>
      </c>
      <c r="E34" s="70" t="n">
        <v>1</v>
      </c>
      <c r="F34" s="71" t="n">
        <v>59.31</v>
      </c>
      <c r="G34" s="71">
        <f>E34*F34</f>
        <v/>
      </c>
      <c r="H34" s="71" t="n">
        <v>18.57</v>
      </c>
      <c r="I34" s="71">
        <f>E34*H34</f>
        <v/>
      </c>
      <c r="J34" s="70" t="inlineStr">
        <is>
          <t>S.S.B. S000645</t>
        </is>
      </c>
    </row>
    <row r="35" ht="15" customHeight="1" s="66">
      <c r="A35" s="129" t="n">
        <v>31</v>
      </c>
      <c r="B35" s="129" t="inlineStr">
        <is>
          <t>Inj. Ondem (Ondansetron) ×6</t>
        </is>
      </c>
      <c r="C35" s="129" t="n"/>
      <c r="D35" s="129" t="inlineStr">
        <is>
          <t>No.</t>
        </is>
      </c>
      <c r="E35" s="129" t="n">
        <v>6</v>
      </c>
      <c r="F35" s="130" t="n">
        <v>146.25</v>
      </c>
      <c r="G35" s="130">
        <f>E35*F35</f>
        <v/>
      </c>
      <c r="H35" s="130" t="n">
        <v>109.52</v>
      </c>
      <c r="I35" s="130">
        <f>E35*H35</f>
        <v/>
      </c>
      <c r="J35" s="129" t="inlineStr">
        <is>
          <t>⚠ MRP OUTLIER — verify batch; S.S.B. S000670</t>
        </is>
      </c>
    </row>
    <row r="36" ht="15" customHeight="1" s="66">
      <c r="A36" s="70" t="n">
        <v>32</v>
      </c>
      <c r="B36" s="70" t="inlineStr">
        <is>
          <t>Inj. Pan 40 IV ×3</t>
        </is>
      </c>
      <c r="C36" s="70" t="n"/>
      <c r="D36" s="70" t="inlineStr">
        <is>
          <t>No.</t>
        </is>
      </c>
      <c r="E36" s="70" t="n">
        <v>3</v>
      </c>
      <c r="F36" s="71" t="n">
        <v>54.24</v>
      </c>
      <c r="G36" s="71">
        <f>E36*F36</f>
        <v/>
      </c>
      <c r="H36" s="71" t="n">
        <v>18</v>
      </c>
      <c r="I36" s="71">
        <f>E36*H36</f>
        <v/>
      </c>
      <c r="J36" s="70" t="inlineStr">
        <is>
          <t>M.R. MR000604</t>
        </is>
      </c>
    </row>
    <row r="37" ht="15" customHeight="1" s="66">
      <c r="A37" s="70" t="n">
        <v>33</v>
      </c>
      <c r="B37" s="70" t="inlineStr">
        <is>
          <t>Inj. Xone 1g (Ceftriaxone) ×6</t>
        </is>
      </c>
      <c r="C37" s="70" t="n"/>
      <c r="D37" s="70" t="inlineStr">
        <is>
          <t>No.</t>
        </is>
      </c>
      <c r="E37" s="70" t="n">
        <v>6</v>
      </c>
      <c r="F37" s="71" t="n">
        <v>66.64</v>
      </c>
      <c r="G37" s="71">
        <f>E37*F37</f>
        <v/>
      </c>
      <c r="H37" s="71" t="n">
        <v>25.71</v>
      </c>
      <c r="I37" s="71">
        <f>E37*H37</f>
        <v/>
      </c>
      <c r="J37" s="70" t="inlineStr">
        <is>
          <t>S.S.B. S000135</t>
        </is>
      </c>
    </row>
    <row r="38" ht="15" customHeight="1" s="66">
      <c r="A38" s="125" t="n">
        <v>34</v>
      </c>
      <c r="B38" s="125" t="inlineStr">
        <is>
          <t>Cap + Mask (Disposable Set) ×2</t>
        </is>
      </c>
      <c r="C38" s="125" t="n"/>
      <c r="D38" s="125" t="inlineStr">
        <is>
          <t>No.</t>
        </is>
      </c>
      <c r="E38" s="125" t="n">
        <v>2</v>
      </c>
      <c r="F38" s="125" t="n">
        <v>25</v>
      </c>
      <c r="G38" s="125" t="n">
        <v>50</v>
      </c>
      <c r="H38" s="125" t="inlineStr">
        <is>
          <t>⚠</t>
        </is>
      </c>
      <c r="I38" s="125" t="inlineStr">
        <is>
          <t>⚠</t>
        </is>
      </c>
      <c r="J38" s="125" t="inlineStr">
        <is>
          <t>MRP filled; cost ⚠</t>
        </is>
      </c>
    </row>
    <row r="39" ht="15" customHeight="1" s="66">
      <c r="A39" s="125" t="n">
        <v>35</v>
      </c>
      <c r="B39" s="125" t="inlineStr">
        <is>
          <t>Inj. Tramadol 2ml ×2</t>
        </is>
      </c>
      <c r="C39" s="125" t="n"/>
      <c r="D39" s="125" t="inlineStr">
        <is>
          <t>No.</t>
        </is>
      </c>
      <c r="E39" s="125" t="n">
        <v>2</v>
      </c>
      <c r="F39" s="125" t="n">
        <v>12.56</v>
      </c>
      <c r="G39" s="125" t="n">
        <v>25.12</v>
      </c>
      <c r="H39" s="125" t="n">
        <v>4.76</v>
      </c>
      <c r="I39" s="125" t="n">
        <v>9.52</v>
      </c>
      <c r="J39" s="125" t="inlineStr">
        <is>
          <t>Filled from stock/rate card</t>
        </is>
      </c>
    </row>
    <row r="40" ht="15" customHeight="1" s="66">
      <c r="A40" s="70" t="n">
        <v>36</v>
      </c>
      <c r="B40" s="70" t="inlineStr">
        <is>
          <t>Inj. Justin AQ / Diclofenac AQ ×4</t>
        </is>
      </c>
      <c r="C40" s="70" t="n"/>
      <c r="D40" s="70" t="inlineStr">
        <is>
          <t>No.</t>
        </is>
      </c>
      <c r="E40" s="70" t="n">
        <v>4</v>
      </c>
      <c r="F40" s="71" t="n">
        <v>36.7</v>
      </c>
      <c r="G40" s="71">
        <f>E40*F40</f>
        <v/>
      </c>
      <c r="H40" s="71" t="n">
        <v>23.81</v>
      </c>
      <c r="I40" s="71">
        <f>E40*H40</f>
        <v/>
      </c>
      <c r="J40" s="70" t="inlineStr">
        <is>
          <t>S.S.B. S000670</t>
        </is>
      </c>
    </row>
    <row r="41" ht="15" customHeight="1" s="66">
      <c r="A41" s="70" t="n">
        <v>37</v>
      </c>
      <c r="B41" s="70" t="inlineStr">
        <is>
          <t>NS 100ml ×6</t>
        </is>
      </c>
      <c r="C41" s="70" t="n"/>
      <c r="D41" s="70" t="inlineStr">
        <is>
          <t>No.</t>
        </is>
      </c>
      <c r="E41" s="70" t="n">
        <v>6</v>
      </c>
      <c r="F41" s="71" t="n">
        <v>21</v>
      </c>
      <c r="G41" s="71">
        <f>E41*F41</f>
        <v/>
      </c>
      <c r="H41" s="71" t="n">
        <v>11.43</v>
      </c>
      <c r="I41" s="71">
        <f>E41*H41</f>
        <v/>
      </c>
      <c r="J41" s="70" t="inlineStr">
        <is>
          <t>S.S.B. S000645</t>
        </is>
      </c>
    </row>
    <row r="42" ht="15" customHeight="1" s="66">
      <c r="A42" s="125" t="n">
        <v>38</v>
      </c>
      <c r="B42" s="125" t="inlineStr">
        <is>
          <t>Gamze Roll</t>
        </is>
      </c>
      <c r="C42" s="125" t="n"/>
      <c r="D42" s="125" t="inlineStr">
        <is>
          <t>No.</t>
        </is>
      </c>
      <c r="E42" s="125" t="n">
        <v>1</v>
      </c>
      <c r="F42" s="125" t="n">
        <v>250</v>
      </c>
      <c r="G42" s="125" t="n">
        <v>250</v>
      </c>
      <c r="H42" s="125" t="n">
        <v>80</v>
      </c>
      <c r="I42" s="125" t="n">
        <v>80</v>
      </c>
      <c r="J42" s="125" t="inlineStr">
        <is>
          <t>Filled from stock/rate card</t>
        </is>
      </c>
    </row>
    <row r="43" ht="15" customHeight="1" s="66">
      <c r="A43" s="70" t="n">
        <v>39</v>
      </c>
      <c r="B43" s="70" t="inlineStr">
        <is>
          <t>Betadine Lotion 100ml</t>
        </is>
      </c>
      <c r="C43" s="70" t="n"/>
      <c r="D43" s="70" t="inlineStr">
        <is>
          <t>No.</t>
        </is>
      </c>
      <c r="E43" s="70" t="n">
        <v>1</v>
      </c>
      <c r="F43" s="71" t="n">
        <v>151.33</v>
      </c>
      <c r="G43" s="71">
        <f>E43*F43</f>
        <v/>
      </c>
      <c r="H43" s="71" t="n">
        <v>85.70999999999999</v>
      </c>
      <c r="I43" s="71">
        <f>E43*H43</f>
        <v/>
      </c>
      <c r="J43" s="70" t="inlineStr">
        <is>
          <t>S.S.B. S000645</t>
        </is>
      </c>
    </row>
    <row r="44" ht="15" customHeight="1" s="66">
      <c r="A44" s="125" t="n">
        <v>40</v>
      </c>
      <c r="B44" s="125" t="inlineStr">
        <is>
          <t>Sterile Gauze — 2 Packets</t>
        </is>
      </c>
      <c r="C44" s="125" t="n"/>
      <c r="D44" s="125" t="inlineStr">
        <is>
          <t>No.</t>
        </is>
      </c>
      <c r="E44" s="125" t="n">
        <v>2</v>
      </c>
      <c r="F44" s="125" t="n">
        <v>14</v>
      </c>
      <c r="G44" s="125" t="n">
        <v>28</v>
      </c>
      <c r="H44" s="125" t="n">
        <v>5.46</v>
      </c>
      <c r="I44" s="125" t="n">
        <v>10.92</v>
      </c>
      <c r="J44" s="125" t="inlineStr">
        <is>
          <t>Filled from stock/rate card</t>
        </is>
      </c>
    </row>
    <row r="45" ht="15" customHeight="1" s="66">
      <c r="A45" s="70" t="n">
        <v>41</v>
      </c>
      <c r="B45" s="70" t="inlineStr">
        <is>
          <t>Roller Bandage 4"</t>
        </is>
      </c>
      <c r="C45" s="70" t="n"/>
      <c r="D45" s="70" t="inlineStr">
        <is>
          <t>No.</t>
        </is>
      </c>
      <c r="E45" s="70" t="n">
        <v>1</v>
      </c>
      <c r="F45" s="71" t="n">
        <v>124</v>
      </c>
      <c r="G45" s="71">
        <f>E45*F45</f>
        <v/>
      </c>
      <c r="H45" s="71" t="n">
        <v>78</v>
      </c>
      <c r="I45" s="71">
        <f>E45*H45</f>
        <v/>
      </c>
      <c r="J45" s="70" t="inlineStr">
        <is>
          <t>B.P. 340</t>
        </is>
      </c>
    </row>
    <row r="46" ht="15" customHeight="1" s="66">
      <c r="A46" s="70" t="n">
        <v>42</v>
      </c>
      <c r="B46" s="70" t="inlineStr">
        <is>
          <t>Roller Bandage 6"</t>
        </is>
      </c>
      <c r="C46" s="70" t="n"/>
      <c r="D46" s="70" t="inlineStr">
        <is>
          <t>No.</t>
        </is>
      </c>
      <c r="E46" s="70" t="n">
        <v>1</v>
      </c>
      <c r="F46" s="71" t="n">
        <v>124</v>
      </c>
      <c r="G46" s="71">
        <f>E46*F46</f>
        <v/>
      </c>
      <c r="H46" s="71" t="n">
        <v>78</v>
      </c>
      <c r="I46" s="71">
        <f>E46*H46</f>
        <v/>
      </c>
      <c r="J46" s="70" t="inlineStr">
        <is>
          <t>B.P. 340</t>
        </is>
      </c>
    </row>
    <row r="47" ht="15" customHeight="1" s="66">
      <c r="A47" s="126" t="inlineStr">
        <is>
          <t xml:space="preserve">  Subtotal — Consumables / Medicines</t>
        </is>
      </c>
      <c r="G47" s="127">
        <f>SUM(G5:G46)</f>
        <v/>
      </c>
      <c r="H47" s="128" t="n"/>
      <c r="I47" s="127">
        <f>SUM(I5:I46)</f>
        <v/>
      </c>
      <c r="J47" s="128" t="n"/>
    </row>
    <row r="49" ht="15" customHeight="1" s="66">
      <c r="A49" s="124" t="inlineStr">
        <is>
          <t xml:space="preserve">  SECTION B — ROOM / BED CHARGES</t>
        </is>
      </c>
    </row>
    <row r="50" ht="15" customHeight="1" s="66">
      <c r="A50" s="70" t="n">
        <v>1</v>
      </c>
      <c r="B50" s="70" t="inlineStr">
        <is>
          <t>Bed / Room Charges</t>
        </is>
      </c>
      <c r="C50" s="70" t="inlineStr">
        <is>
          <t>Ward</t>
        </is>
      </c>
      <c r="D50" s="70" t="inlineStr">
        <is>
          <t>Day</t>
        </is>
      </c>
      <c r="E50" s="70" t="n">
        <v>1</v>
      </c>
      <c r="F50" s="71" t="n">
        <v>1000</v>
      </c>
      <c r="G50" s="71">
        <f>E50*F50</f>
        <v/>
      </c>
      <c r="H50" s="70" t="inlineStr">
        <is>
          <t>—</t>
        </is>
      </c>
      <c r="I50" s="70" t="inlineStr">
        <is>
          <t>—</t>
        </is>
      </c>
      <c r="J50" s="70" t="inlineStr">
        <is>
          <t>Per sheet</t>
        </is>
      </c>
    </row>
    <row r="52" ht="15" customHeight="1" s="66">
      <c r="A52" s="124" t="inlineStr">
        <is>
          <t xml:space="preserve">  SECTION C — OT / PROCEDURE CHARGES</t>
        </is>
      </c>
    </row>
    <row r="53" ht="15" customHeight="1" s="66">
      <c r="A53" s="70" t="n">
        <v>1</v>
      </c>
      <c r="B53" s="70" t="inlineStr">
        <is>
          <t>OT / Procedure Charges</t>
        </is>
      </c>
      <c r="C53" s="70" t="inlineStr">
        <is>
          <t>Per procedure</t>
        </is>
      </c>
      <c r="D53" s="70" t="inlineStr">
        <is>
          <t>—</t>
        </is>
      </c>
      <c r="E53" s="70" t="n">
        <v>1</v>
      </c>
      <c r="F53" s="71" t="n">
        <v>1500</v>
      </c>
      <c r="G53" s="71">
        <f>E53*F53</f>
        <v/>
      </c>
      <c r="H53" s="70" t="inlineStr">
        <is>
          <t>—</t>
        </is>
      </c>
      <c r="I53" s="70" t="inlineStr">
        <is>
          <t>—</t>
        </is>
      </c>
      <c r="J53" s="70" t="inlineStr">
        <is>
          <t>Per sheet</t>
        </is>
      </c>
    </row>
    <row r="55" ht="15" customHeight="1" s="66">
      <c r="A55" s="72" t="inlineStr">
        <is>
          <t>GRAND TOTAL PATIENT BILL</t>
        </is>
      </c>
      <c r="G55" s="73">
        <f>G47+SUM(G50:G50)+SUM(G53:G53)</f>
        <v/>
      </c>
      <c r="H55" s="73">
        <f>I47</f>
        <v/>
      </c>
      <c r="I55" s="73">
        <f>G55-H55</f>
        <v/>
      </c>
      <c r="J55" s="72" t="inlineStr">
        <is>
          <t>Bill | Cost | Margin</t>
        </is>
      </c>
    </row>
  </sheetData>
  <mergeCells count="6">
    <mergeCell ref="A1:J1"/>
    <mergeCell ref="A47:F47"/>
    <mergeCell ref="A3:J3"/>
    <mergeCell ref="A52:J52"/>
    <mergeCell ref="A55:F55"/>
    <mergeCell ref="A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J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Shankar Mallick</t>
        </is>
      </c>
      <c r="E2" s="123" t="inlineStr">
        <is>
          <t>Doctor: Dr. K. Digga</t>
        </is>
      </c>
      <c r="G2" s="123" t="inlineStr">
        <is>
          <t>Date: 02/07/2026</t>
        </is>
      </c>
      <c r="I2" s="123" t="inlineStr">
        <is>
          <t>Proc: Implant Removal — Spinal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70" t="n">
        <v>1</v>
      </c>
      <c r="B5" s="70" t="inlineStr">
        <is>
          <t>Spinal Needle 25G (Spinocaine)</t>
        </is>
      </c>
      <c r="C5" s="70" t="n"/>
      <c r="D5" s="70" t="inlineStr">
        <is>
          <t>No.</t>
        </is>
      </c>
      <c r="E5" s="70" t="n">
        <v>1</v>
      </c>
      <c r="F5" s="71" t="n">
        <v>153</v>
      </c>
      <c r="G5" s="71">
        <f>E5*F5</f>
        <v/>
      </c>
      <c r="H5" s="71" t="n">
        <v>74.29000000000001</v>
      </c>
      <c r="I5" s="71">
        <f>E5*H5</f>
        <v/>
      </c>
      <c r="J5" s="70" t="inlineStr">
        <is>
          <t>S.S.B. S000092</t>
        </is>
      </c>
    </row>
    <row r="6" ht="15" customHeight="1" s="66">
      <c r="A6" s="70" t="n">
        <v>2</v>
      </c>
      <c r="B6" s="70" t="inlineStr">
        <is>
          <t>Syringe 2cc</t>
        </is>
      </c>
      <c r="C6" s="70" t="n"/>
      <c r="D6" s="70" t="inlineStr">
        <is>
          <t>No.</t>
        </is>
      </c>
      <c r="E6" s="70" t="n">
        <v>1</v>
      </c>
      <c r="F6" s="71" t="n">
        <v>8.449999999999999</v>
      </c>
      <c r="G6" s="71">
        <f>E6*F6</f>
        <v/>
      </c>
      <c r="H6" s="71" t="n">
        <v>2.3</v>
      </c>
      <c r="I6" s="71">
        <f>E6*H6</f>
        <v/>
      </c>
      <c r="J6" s="70" t="inlineStr">
        <is>
          <t>M.R. MR000753</t>
        </is>
      </c>
    </row>
    <row r="7" ht="15" customHeight="1" s="66">
      <c r="A7" s="70" t="n">
        <v>3</v>
      </c>
      <c r="B7" s="70" t="inlineStr">
        <is>
          <t>Syringe 5cc</t>
        </is>
      </c>
      <c r="C7" s="70" t="n"/>
      <c r="D7" s="70" t="inlineStr">
        <is>
          <t>No.</t>
        </is>
      </c>
      <c r="E7" s="70" t="n">
        <v>1</v>
      </c>
      <c r="F7" s="71" t="n">
        <v>10.23</v>
      </c>
      <c r="G7" s="71">
        <f>E7*F7</f>
        <v/>
      </c>
      <c r="H7" s="71" t="n">
        <v>3.5</v>
      </c>
      <c r="I7" s="71">
        <f>E7*H7</f>
        <v/>
      </c>
      <c r="J7" s="70" t="inlineStr">
        <is>
          <t>M.R. MR000539</t>
        </is>
      </c>
    </row>
    <row r="8" ht="15" customHeight="1" s="66">
      <c r="A8" s="70" t="n">
        <v>4</v>
      </c>
      <c r="B8" s="70" t="inlineStr">
        <is>
          <t>Syringe 10cc</t>
        </is>
      </c>
      <c r="C8" s="70" t="n"/>
      <c r="D8" s="70" t="inlineStr">
        <is>
          <t>No.</t>
        </is>
      </c>
      <c r="E8" s="70" t="n">
        <v>1</v>
      </c>
      <c r="F8" s="71" t="n">
        <v>13.3</v>
      </c>
      <c r="G8" s="71">
        <f>E8*F8</f>
        <v/>
      </c>
      <c r="H8" s="71" t="n">
        <v>5.3</v>
      </c>
      <c r="I8" s="71">
        <f>E8*H8</f>
        <v/>
      </c>
      <c r="J8" s="70" t="inlineStr">
        <is>
          <t>M.R. MR000753</t>
        </is>
      </c>
    </row>
    <row r="9" ht="15" customHeight="1" s="66">
      <c r="A9" s="70" t="n">
        <v>5</v>
      </c>
      <c r="B9" s="70" t="inlineStr">
        <is>
          <t>Inj. Anawin Heavy 4ml (Bupivacaine Heavy)</t>
        </is>
      </c>
      <c r="C9" s="70" t="n"/>
      <c r="D9" s="70" t="inlineStr">
        <is>
          <t>No.</t>
        </is>
      </c>
      <c r="E9" s="70" t="n">
        <v>1</v>
      </c>
      <c r="F9" s="71" t="n">
        <v>31.47</v>
      </c>
      <c r="G9" s="71">
        <f>E9*F9</f>
        <v/>
      </c>
      <c r="H9" s="71" t="n">
        <v>24.76</v>
      </c>
      <c r="I9" s="71">
        <f>E9*H9</f>
        <v/>
      </c>
      <c r="J9" s="70" t="inlineStr">
        <is>
          <t>S.S.B. S000092</t>
        </is>
      </c>
    </row>
    <row r="10" ht="15" customHeight="1" s="66">
      <c r="A10" s="125" t="n">
        <v>6</v>
      </c>
      <c r="B10" s="125" t="inlineStr">
        <is>
          <t>Gauze Pieces ×25</t>
        </is>
      </c>
      <c r="C10" s="125" t="n"/>
      <c r="D10" s="125" t="inlineStr">
        <is>
          <t>No.</t>
        </is>
      </c>
      <c r="E10" s="125" t="n">
        <v>25</v>
      </c>
      <c r="F10" s="125" t="n">
        <v>14</v>
      </c>
      <c r="G10" s="125" t="n">
        <v>350</v>
      </c>
      <c r="H10" s="125" t="n">
        <v>5.46</v>
      </c>
      <c r="I10" s="125" t="n">
        <v>136.5</v>
      </c>
      <c r="J10" s="125" t="inlineStr">
        <is>
          <t>Filled from stock/rate card</t>
        </is>
      </c>
    </row>
    <row r="11" ht="15" customHeight="1" s="66">
      <c r="A11" s="70" t="n">
        <v>7</v>
      </c>
      <c r="B11" s="70" t="inlineStr">
        <is>
          <t>Roller Bandage 6" ×2</t>
        </is>
      </c>
      <c r="C11" s="70" t="n"/>
      <c r="D11" s="70" t="inlineStr">
        <is>
          <t>No.</t>
        </is>
      </c>
      <c r="E11" s="70" t="n">
        <v>2</v>
      </c>
      <c r="F11" s="71" t="n">
        <v>124</v>
      </c>
      <c r="G11" s="71">
        <f>E11*F11</f>
        <v/>
      </c>
      <c r="H11" s="71" t="n">
        <v>78</v>
      </c>
      <c r="I11" s="71">
        <f>E11*H11</f>
        <v/>
      </c>
      <c r="J11" s="70" t="inlineStr">
        <is>
          <t>B.P. 340</t>
        </is>
      </c>
    </row>
    <row r="12" ht="15" customHeight="1" s="66">
      <c r="A12" s="70" t="n">
        <v>8</v>
      </c>
      <c r="B12" s="70" t="inlineStr">
        <is>
          <t>Gloves 8</t>
        </is>
      </c>
      <c r="C12" s="70" t="n"/>
      <c r="D12" s="70" t="inlineStr">
        <is>
          <t>No.</t>
        </is>
      </c>
      <c r="E12" s="70" t="n">
        <v>1</v>
      </c>
      <c r="F12" s="71" t="n">
        <v>97</v>
      </c>
      <c r="G12" s="71">
        <f>E12*F12</f>
        <v/>
      </c>
      <c r="H12" s="71" t="n">
        <v>90.94</v>
      </c>
      <c r="I12" s="71">
        <f>E12*H12</f>
        <v/>
      </c>
      <c r="J12" s="70" t="inlineStr">
        <is>
          <t>Vivekananda F/747</t>
        </is>
      </c>
    </row>
    <row r="13" ht="15" customHeight="1" s="66">
      <c r="A13" s="70" t="n">
        <v>9</v>
      </c>
      <c r="B13" s="70" t="inlineStr">
        <is>
          <t>Gloves 7.0 ×5</t>
        </is>
      </c>
      <c r="C13" s="70" t="n"/>
      <c r="D13" s="70" t="inlineStr">
        <is>
          <t>No.</t>
        </is>
      </c>
      <c r="E13" s="70" t="n">
        <v>5</v>
      </c>
      <c r="F13" s="71" t="n">
        <v>91</v>
      </c>
      <c r="G13" s="71">
        <f>E13*F13</f>
        <v/>
      </c>
      <c r="H13" s="71" t="n">
        <v>19.06</v>
      </c>
      <c r="I13" s="71">
        <f>E13*H13</f>
        <v/>
      </c>
      <c r="J13" s="70" t="inlineStr">
        <is>
          <t>Vivekananda F/747</t>
        </is>
      </c>
    </row>
    <row r="14" ht="15" customHeight="1" s="66">
      <c r="A14" s="70" t="n">
        <v>10</v>
      </c>
      <c r="B14" s="70" t="inlineStr">
        <is>
          <t>Gloves 6.5</t>
        </is>
      </c>
      <c r="C14" s="70" t="n"/>
      <c r="D14" s="70" t="inlineStr">
        <is>
          <t>No.</t>
        </is>
      </c>
      <c r="E14" s="70" t="n">
        <v>1</v>
      </c>
      <c r="F14" s="71" t="n">
        <v>91</v>
      </c>
      <c r="G14" s="71">
        <f>E14*F14</f>
        <v/>
      </c>
      <c r="H14" s="71" t="n">
        <v>19.06</v>
      </c>
      <c r="I14" s="71">
        <f>E14*H14</f>
        <v/>
      </c>
      <c r="J14" s="70" t="inlineStr">
        <is>
          <t>Vivekananda F/747</t>
        </is>
      </c>
    </row>
    <row r="15" ht="15" customHeight="1" s="66">
      <c r="A15" s="125" t="n">
        <v>11</v>
      </c>
      <c r="B15" s="125" t="inlineStr">
        <is>
          <t>Suture Ethilon 2-0 (SN3336) ×4</t>
        </is>
      </c>
      <c r="C15" s="125" t="n"/>
      <c r="D15" s="125" t="inlineStr">
        <is>
          <t>No.</t>
        </is>
      </c>
      <c r="E15" s="125" t="n">
        <v>2</v>
      </c>
      <c r="F15" s="125" t="n">
        <v>277</v>
      </c>
      <c r="G15" s="125" t="n">
        <v>554</v>
      </c>
      <c r="H15" s="125" t="n">
        <v>49.52</v>
      </c>
      <c r="I15" s="125" t="n">
        <v>99.04000000000001</v>
      </c>
      <c r="J15" s="125" t="inlineStr">
        <is>
          <t>Filled from stock/rate card</t>
        </is>
      </c>
    </row>
    <row r="16" ht="15" customHeight="1" s="66">
      <c r="A16" s="125" t="n">
        <v>12</v>
      </c>
      <c r="B16" s="125" t="inlineStr">
        <is>
          <t>Suture Vicryl VP2421 (1-0)</t>
        </is>
      </c>
      <c r="C16" s="125" t="n"/>
      <c r="D16" s="125" t="inlineStr">
        <is>
          <t>No.</t>
        </is>
      </c>
      <c r="E16" s="125" t="n">
        <v>1</v>
      </c>
      <c r="F16" s="125" t="n">
        <v>1171</v>
      </c>
      <c r="G16" s="125" t="n">
        <v>1171</v>
      </c>
      <c r="H16" s="125" t="n">
        <v>644.17</v>
      </c>
      <c r="I16" s="125" t="n">
        <v>644.17</v>
      </c>
      <c r="J16" s="125" t="inlineStr">
        <is>
          <t>Filled from stock/rate card</t>
        </is>
      </c>
    </row>
    <row r="17" ht="15" customHeight="1" s="66">
      <c r="A17" s="125" t="n">
        <v>13</v>
      </c>
      <c r="B17" s="125" t="inlineStr">
        <is>
          <t>Cap + Mask (Disposable Set) ×4</t>
        </is>
      </c>
      <c r="C17" s="125" t="n"/>
      <c r="D17" s="125" t="inlineStr">
        <is>
          <t>No.</t>
        </is>
      </c>
      <c r="E17" s="125" t="n">
        <v>4</v>
      </c>
      <c r="F17" s="125" t="n">
        <v>25</v>
      </c>
      <c r="G17" s="125" t="n">
        <v>100</v>
      </c>
      <c r="H17" s="125" t="inlineStr">
        <is>
          <t>⚠</t>
        </is>
      </c>
      <c r="I17" s="125" t="inlineStr">
        <is>
          <t>⚠</t>
        </is>
      </c>
      <c r="J17" s="125" t="inlineStr">
        <is>
          <t>MRP filled; cost ⚠</t>
        </is>
      </c>
    </row>
    <row r="18" ht="15" customHeight="1" s="66">
      <c r="A18" s="70" t="n">
        <v>14</v>
      </c>
      <c r="B18" s="70" t="inlineStr">
        <is>
          <t>NS 500ml ×2</t>
        </is>
      </c>
      <c r="C18" s="70" t="n"/>
      <c r="D18" s="70" t="inlineStr">
        <is>
          <t>No.</t>
        </is>
      </c>
      <c r="E18" s="70" t="n">
        <v>2</v>
      </c>
      <c r="F18" s="71" t="n">
        <v>36.6</v>
      </c>
      <c r="G18" s="71">
        <f>E18*F18</f>
        <v/>
      </c>
      <c r="H18" s="71" t="n">
        <v>17.62</v>
      </c>
      <c r="I18" s="71">
        <f>E18*H18</f>
        <v/>
      </c>
      <c r="J18" s="70" t="inlineStr">
        <is>
          <t>S.S.B. S000645</t>
        </is>
      </c>
    </row>
    <row r="19" ht="15" customHeight="1" s="66">
      <c r="A19" s="70" t="n">
        <v>15</v>
      </c>
      <c r="B19" s="70" t="inlineStr">
        <is>
          <t>NS 1000ml ×2</t>
        </is>
      </c>
      <c r="C19" s="70" t="n"/>
      <c r="D19" s="70" t="inlineStr">
        <is>
          <t>No.</t>
        </is>
      </c>
      <c r="E19" s="70" t="n">
        <v>2</v>
      </c>
      <c r="F19" s="71" t="n">
        <v>61.17</v>
      </c>
      <c r="G19" s="71">
        <f>E19*F19</f>
        <v/>
      </c>
      <c r="H19" s="71" t="n">
        <v>30.48</v>
      </c>
      <c r="I19" s="71">
        <f>E19*H19</f>
        <v/>
      </c>
      <c r="J19" s="70" t="inlineStr">
        <is>
          <t>S.S.B. S000645</t>
        </is>
      </c>
    </row>
    <row r="20" ht="15" customHeight="1" s="66">
      <c r="A20" s="70" t="n">
        <v>16</v>
      </c>
      <c r="B20" s="70" t="inlineStr">
        <is>
          <t>Betadine Lotion 100ml ×3</t>
        </is>
      </c>
      <c r="C20" s="70" t="n"/>
      <c r="D20" s="70" t="inlineStr">
        <is>
          <t>No.</t>
        </is>
      </c>
      <c r="E20" s="70" t="n">
        <v>3</v>
      </c>
      <c r="F20" s="71" t="n">
        <v>151.33</v>
      </c>
      <c r="G20" s="71">
        <f>E20*F20</f>
        <v/>
      </c>
      <c r="H20" s="71" t="n">
        <v>85.70999999999999</v>
      </c>
      <c r="I20" s="71">
        <f>E20*H20</f>
        <v/>
      </c>
      <c r="J20" s="70" t="inlineStr">
        <is>
          <t>S.S.B. S000645</t>
        </is>
      </c>
    </row>
    <row r="21" ht="15" customHeight="1" s="66">
      <c r="A21" s="70" t="n">
        <v>17</v>
      </c>
      <c r="B21" s="70" t="inlineStr">
        <is>
          <t>Betadine Scrub 100ml</t>
        </is>
      </c>
      <c r="C21" s="70" t="n"/>
      <c r="D21" s="70" t="inlineStr">
        <is>
          <t>No.</t>
        </is>
      </c>
      <c r="E21" s="70" t="n">
        <v>1</v>
      </c>
      <c r="F21" s="71" t="n">
        <v>151.33</v>
      </c>
      <c r="G21" s="71">
        <f>E21*F21</f>
        <v/>
      </c>
      <c r="H21" s="71" t="n">
        <v>85.70999999999999</v>
      </c>
      <c r="I21" s="71">
        <f>E21*H21</f>
        <v/>
      </c>
      <c r="J21" s="70" t="inlineStr">
        <is>
          <t>S.S.B. S000645</t>
        </is>
      </c>
    </row>
    <row r="22" ht="15" customHeight="1" s="66">
      <c r="A22" s="70" t="n">
        <v>18</v>
      </c>
      <c r="B22" s="70" t="inlineStr">
        <is>
          <t>Plain Sheet (OT Draping) ×2</t>
        </is>
      </c>
      <c r="C22" s="70" t="n"/>
      <c r="D22" s="70" t="inlineStr">
        <is>
          <t>No.</t>
        </is>
      </c>
      <c r="E22" s="70" t="n">
        <v>2</v>
      </c>
      <c r="F22" s="71" t="n">
        <v>119.5</v>
      </c>
      <c r="G22" s="71">
        <f>E22*F22</f>
        <v/>
      </c>
      <c r="H22" s="71" t="n">
        <v>57.96</v>
      </c>
      <c r="I22" s="71">
        <f>E22*H22</f>
        <v/>
      </c>
      <c r="J22" s="70" t="inlineStr">
        <is>
          <t>M.R. MR000352</t>
        </is>
      </c>
    </row>
    <row r="23" ht="15" customHeight="1" s="66">
      <c r="A23" s="125" t="n">
        <v>19</v>
      </c>
      <c r="B23" s="125" t="inlineStr">
        <is>
          <t>Surgical Blade No. 20</t>
        </is>
      </c>
      <c r="C23" s="125" t="n"/>
      <c r="D23" s="125" t="inlineStr">
        <is>
          <t>No.</t>
        </is>
      </c>
      <c r="E23" s="125" t="n">
        <v>1</v>
      </c>
      <c r="F23" s="125" t="n">
        <v>750</v>
      </c>
      <c r="G23" s="125" t="n">
        <v>750</v>
      </c>
      <c r="H23" s="125" t="inlineStr">
        <is>
          <t>⚠</t>
        </is>
      </c>
      <c r="I23" s="125" t="inlineStr">
        <is>
          <t>⚠</t>
        </is>
      </c>
      <c r="J23" s="125" t="inlineStr">
        <is>
          <t>MRP filled; cost ⚠</t>
        </is>
      </c>
    </row>
    <row r="24" ht="15" customHeight="1" s="66">
      <c r="A24" s="125" t="n">
        <v>20</v>
      </c>
      <c r="B24" s="125" t="inlineStr">
        <is>
          <t>Surgical Blade No. 24</t>
        </is>
      </c>
      <c r="C24" s="125" t="n"/>
      <c r="D24" s="125" t="inlineStr">
        <is>
          <t>No.</t>
        </is>
      </c>
      <c r="E24" s="125" t="n">
        <v>1</v>
      </c>
      <c r="F24" s="125" t="n">
        <v>750</v>
      </c>
      <c r="G24" s="125" t="n">
        <v>750</v>
      </c>
      <c r="H24" s="125" t="inlineStr">
        <is>
          <t>⚠</t>
        </is>
      </c>
      <c r="I24" s="125" t="inlineStr">
        <is>
          <t>⚠</t>
        </is>
      </c>
      <c r="J24" s="125" t="inlineStr">
        <is>
          <t>MRP filled; cost ⚠</t>
        </is>
      </c>
    </row>
    <row r="25" ht="15" customHeight="1" s="66">
      <c r="A25" s="126" t="inlineStr">
        <is>
          <t xml:space="preserve">  Subtotal — Consumables / Medicines</t>
        </is>
      </c>
      <c r="G25" s="127">
        <f>SUM(G5:G24)</f>
        <v/>
      </c>
      <c r="H25" s="128" t="n"/>
      <c r="I25" s="127">
        <f>SUM(I5:I24)</f>
        <v/>
      </c>
      <c r="J25" s="128" t="n"/>
    </row>
    <row r="27" ht="15" customHeight="1" s="66">
      <c r="A27" s="124" t="inlineStr">
        <is>
          <t xml:space="preserve">  SECTION B — ROOM / BED CHARGES</t>
        </is>
      </c>
    </row>
    <row r="28" ht="15" customHeight="1" s="66">
      <c r="A28" s="70" t="n">
        <v>1</v>
      </c>
      <c r="B28" s="70" t="inlineStr">
        <is>
          <t>Bed / Room Charges</t>
        </is>
      </c>
      <c r="C28" s="70" t="inlineStr">
        <is>
          <t>Ward</t>
        </is>
      </c>
      <c r="D28" s="70" t="inlineStr">
        <is>
          <t>Day</t>
        </is>
      </c>
      <c r="E28" s="70" t="n">
        <v>1</v>
      </c>
      <c r="F28" s="71" t="n">
        <v>1000</v>
      </c>
      <c r="G28" s="71">
        <f>E28*F28</f>
        <v/>
      </c>
      <c r="H28" s="70" t="inlineStr">
        <is>
          <t>—</t>
        </is>
      </c>
      <c r="I28" s="70" t="inlineStr">
        <is>
          <t>—</t>
        </is>
      </c>
      <c r="J28" s="70" t="inlineStr">
        <is>
          <t>Per sheet</t>
        </is>
      </c>
    </row>
    <row r="30" ht="15" customHeight="1" s="66">
      <c r="A30" s="124" t="inlineStr">
        <is>
          <t xml:space="preserve">  SECTION C — OT / PROCEDURE CHARGES</t>
        </is>
      </c>
    </row>
    <row r="31" ht="15" customHeight="1" s="66">
      <c r="A31" s="70" t="n">
        <v>1</v>
      </c>
      <c r="B31" s="70" t="inlineStr">
        <is>
          <t>OT / Procedure Charges</t>
        </is>
      </c>
      <c r="C31" s="70" t="inlineStr">
        <is>
          <t>Per procedure</t>
        </is>
      </c>
      <c r="D31" s="70" t="inlineStr">
        <is>
          <t>—</t>
        </is>
      </c>
      <c r="E31" s="70" t="n">
        <v>1</v>
      </c>
      <c r="F31" s="71" t="n">
        <v>1500</v>
      </c>
      <c r="G31" s="71">
        <f>E31*F31</f>
        <v/>
      </c>
      <c r="H31" s="70" t="inlineStr">
        <is>
          <t>—</t>
        </is>
      </c>
      <c r="I31" s="70" t="inlineStr">
        <is>
          <t>—</t>
        </is>
      </c>
      <c r="J31" s="70" t="inlineStr">
        <is>
          <t>Per sheet</t>
        </is>
      </c>
    </row>
    <row r="33" ht="15" customHeight="1" s="66">
      <c r="A33" s="72" t="inlineStr">
        <is>
          <t>GRAND TOTAL PATIENT BILL</t>
        </is>
      </c>
      <c r="G33" s="73">
        <f>G25+SUM(G28:G28)+SUM(G31:G31)</f>
        <v/>
      </c>
      <c r="H33" s="73">
        <f>I25</f>
        <v/>
      </c>
      <c r="I33" s="73">
        <f>G33-H33</f>
        <v/>
      </c>
      <c r="J33" s="72" t="inlineStr">
        <is>
          <t>Bill | Cost | Margin</t>
        </is>
      </c>
    </row>
  </sheetData>
  <mergeCells count="6">
    <mergeCell ref="A33:F33"/>
    <mergeCell ref="A1:J1"/>
    <mergeCell ref="A27:J27"/>
    <mergeCell ref="A3:J3"/>
    <mergeCell ref="A30:J30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Rabia Bibi</t>
        </is>
      </c>
      <c r="E2" s="123" t="inlineStr">
        <is>
          <t>Doctor: Dr. K. Digga</t>
        </is>
      </c>
      <c r="G2" s="123" t="inlineStr">
        <is>
          <t>Date: 02/07/2026</t>
        </is>
      </c>
      <c r="I2" s="123" t="inlineStr">
        <is>
          <t>Proc: Block Anaesthesia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125" t="n">
        <v>1</v>
      </c>
      <c r="B5" s="125" t="inlineStr">
        <is>
          <t>Needles 18G ×2</t>
        </is>
      </c>
      <c r="C5" s="125" t="n"/>
      <c r="D5" s="125" t="inlineStr">
        <is>
          <t>No.</t>
        </is>
      </c>
      <c r="E5" s="125" t="n">
        <v>2</v>
      </c>
      <c r="F5" s="125" t="n">
        <v>3.38</v>
      </c>
      <c r="G5" s="125" t="n">
        <v>6.76</v>
      </c>
      <c r="H5" s="125" t="inlineStr">
        <is>
          <t>⚠</t>
        </is>
      </c>
      <c r="I5" s="125" t="inlineStr">
        <is>
          <t>⚠</t>
        </is>
      </c>
      <c r="J5" s="125" t="inlineStr">
        <is>
          <t>MRP filled; cost ⚠</t>
        </is>
      </c>
    </row>
    <row r="6" ht="15" customHeight="1" s="66">
      <c r="A6" s="70" t="n">
        <v>2</v>
      </c>
      <c r="B6" s="70" t="inlineStr">
        <is>
          <t>Syringe 5cc ×2</t>
        </is>
      </c>
      <c r="C6" s="70" t="n"/>
      <c r="D6" s="70" t="inlineStr">
        <is>
          <t>No.</t>
        </is>
      </c>
      <c r="E6" s="70" t="n">
        <v>2</v>
      </c>
      <c r="F6" s="71" t="n">
        <v>10.23</v>
      </c>
      <c r="G6" s="71">
        <f>E6*F6</f>
        <v/>
      </c>
      <c r="H6" s="71" t="n">
        <v>3.5</v>
      </c>
      <c r="I6" s="71">
        <f>E6*H6</f>
        <v/>
      </c>
      <c r="J6" s="70" t="inlineStr">
        <is>
          <t>M.R. MR000539</t>
        </is>
      </c>
    </row>
    <row r="7" ht="15" customHeight="1" s="66">
      <c r="A7" s="70" t="n">
        <v>3</v>
      </c>
      <c r="B7" s="70" t="inlineStr">
        <is>
          <t>Syringe 10cc ×6</t>
        </is>
      </c>
      <c r="C7" s="70" t="n"/>
      <c r="D7" s="70" t="inlineStr">
        <is>
          <t>No.</t>
        </is>
      </c>
      <c r="E7" s="70" t="n">
        <v>6</v>
      </c>
      <c r="F7" s="71" t="n">
        <v>13.3</v>
      </c>
      <c r="G7" s="71">
        <f>E7*F7</f>
        <v/>
      </c>
      <c r="H7" s="71" t="n">
        <v>5.3</v>
      </c>
      <c r="I7" s="71">
        <f>E7*H7</f>
        <v/>
      </c>
      <c r="J7" s="70" t="inlineStr">
        <is>
          <t>M.R. MR000753</t>
        </is>
      </c>
    </row>
    <row r="8" ht="15" customHeight="1" s="66">
      <c r="A8" s="70" t="n">
        <v>4</v>
      </c>
      <c r="B8" s="70" t="inlineStr">
        <is>
          <t>Distilled Water 10ml ×5</t>
        </is>
      </c>
      <c r="C8" s="70" t="n"/>
      <c r="D8" s="70" t="inlineStr">
        <is>
          <t>No.</t>
        </is>
      </c>
      <c r="E8" s="70" t="n">
        <v>5</v>
      </c>
      <c r="F8" s="71" t="n">
        <v>3.24</v>
      </c>
      <c r="G8" s="71">
        <f>E8*F8</f>
        <v/>
      </c>
      <c r="H8" s="71" t="n">
        <v>2.51</v>
      </c>
      <c r="I8" s="71">
        <f>E8*H8</f>
        <v/>
      </c>
      <c r="J8" s="70" t="inlineStr">
        <is>
          <t>Vivekananda F/747</t>
        </is>
      </c>
    </row>
    <row r="9" ht="15" customHeight="1" s="66">
      <c r="A9" s="129" t="n">
        <v>5</v>
      </c>
      <c r="B9" s="129" t="inlineStr">
        <is>
          <t>Inj. Ondem</t>
        </is>
      </c>
      <c r="C9" s="129" t="n"/>
      <c r="D9" s="129" t="inlineStr">
        <is>
          <t>No.</t>
        </is>
      </c>
      <c r="E9" s="129" t="n">
        <v>1</v>
      </c>
      <c r="F9" s="130" t="n">
        <v>146.25</v>
      </c>
      <c r="G9" s="130">
        <f>E9*F9</f>
        <v/>
      </c>
      <c r="H9" s="130" t="n">
        <v>109.52</v>
      </c>
      <c r="I9" s="130">
        <f>E9*H9</f>
        <v/>
      </c>
      <c r="J9" s="129" t="inlineStr">
        <is>
          <t>⚠ MRP OUTLIER — verify batch; S.S.B. S000670</t>
        </is>
      </c>
    </row>
    <row r="10" ht="15" customHeight="1" s="66">
      <c r="A10" s="70" t="n">
        <v>6</v>
      </c>
      <c r="B10" s="70" t="inlineStr">
        <is>
          <t>Inj. Lox 2% + Adrenaline 30ml (Block) ×2</t>
        </is>
      </c>
      <c r="C10" s="70" t="n"/>
      <c r="D10" s="70" t="inlineStr">
        <is>
          <t>No.</t>
        </is>
      </c>
      <c r="E10" s="70" t="n">
        <v>2</v>
      </c>
      <c r="F10" s="71" t="n">
        <v>34.58</v>
      </c>
      <c r="G10" s="71">
        <f>E10*F10</f>
        <v/>
      </c>
      <c r="H10" s="71" t="n">
        <v>27</v>
      </c>
      <c r="I10" s="71">
        <f>E10*H10</f>
        <v/>
      </c>
      <c r="J10" s="70" t="inlineStr">
        <is>
          <t>Vivekananda F/748</t>
        </is>
      </c>
    </row>
    <row r="11" ht="15" customHeight="1" s="66">
      <c r="A11" s="70" t="n">
        <v>7</v>
      </c>
      <c r="B11" s="70" t="inlineStr">
        <is>
          <t>Inj. Anawin 0.5% (Bupivacaine)</t>
        </is>
      </c>
      <c r="C11" s="70" t="n"/>
      <c r="D11" s="70" t="inlineStr">
        <is>
          <t>No.</t>
        </is>
      </c>
      <c r="E11" s="70" t="n">
        <v>1</v>
      </c>
      <c r="F11" s="71" t="n">
        <v>33.3</v>
      </c>
      <c r="G11" s="71">
        <f>E11*F11</f>
        <v/>
      </c>
      <c r="H11" s="71" t="n">
        <v>25.24</v>
      </c>
      <c r="I11" s="71">
        <f>E11*H11</f>
        <v/>
      </c>
      <c r="J11" s="70" t="inlineStr">
        <is>
          <t>S.S.B. S000645</t>
        </is>
      </c>
    </row>
    <row r="12" ht="15" customHeight="1" s="66">
      <c r="A12" s="70" t="n">
        <v>8</v>
      </c>
      <c r="B12" s="70" t="inlineStr">
        <is>
          <t>Inj. Pentazocine 1ml ×2</t>
        </is>
      </c>
      <c r="C12" s="70" t="n"/>
      <c r="D12" s="70" t="inlineStr">
        <is>
          <t>No.</t>
        </is>
      </c>
      <c r="E12" s="70" t="n">
        <v>2</v>
      </c>
      <c r="F12" s="71" t="n">
        <v>59.59</v>
      </c>
      <c r="G12" s="71">
        <f>E12*F12</f>
        <v/>
      </c>
      <c r="H12" s="71" t="n">
        <v>22</v>
      </c>
      <c r="I12" s="71">
        <f>E12*H12</f>
        <v/>
      </c>
      <c r="J12" s="70" t="inlineStr">
        <is>
          <t>Vivekananda F/1180</t>
        </is>
      </c>
    </row>
    <row r="13" ht="15" customHeight="1" s="66">
      <c r="A13" s="125" t="n">
        <v>9</v>
      </c>
      <c r="B13" s="125" t="inlineStr">
        <is>
          <t>Inj. Glycopyrrolate 1ml</t>
        </is>
      </c>
      <c r="C13" s="125" t="n"/>
      <c r="D13" s="125" t="inlineStr">
        <is>
          <t>No.</t>
        </is>
      </c>
      <c r="E13" s="125" t="n">
        <v>1</v>
      </c>
      <c r="F13" s="125" t="n">
        <v>15.37</v>
      </c>
      <c r="G13" s="125" t="n">
        <v>15.37</v>
      </c>
      <c r="H13" s="125" t="n">
        <v>11.24</v>
      </c>
      <c r="I13" s="125" t="n">
        <v>11.24</v>
      </c>
      <c r="J13" s="125" t="inlineStr">
        <is>
          <t>Filled from stock/rate card</t>
        </is>
      </c>
    </row>
    <row r="14" ht="15" customHeight="1" s="66">
      <c r="A14" s="125" t="n">
        <v>10</v>
      </c>
      <c r="B14" s="125" t="inlineStr">
        <is>
          <t>Gauze Pieces ×15</t>
        </is>
      </c>
      <c r="C14" s="125" t="n"/>
      <c r="D14" s="125" t="inlineStr">
        <is>
          <t>No.</t>
        </is>
      </c>
      <c r="E14" s="125" t="n">
        <v>15</v>
      </c>
      <c r="F14" s="125" t="n">
        <v>14</v>
      </c>
      <c r="G14" s="125" t="n">
        <v>210</v>
      </c>
      <c r="H14" s="125" t="n">
        <v>5.46</v>
      </c>
      <c r="I14" s="125" t="n">
        <v>81.90000000000001</v>
      </c>
      <c r="J14" s="125" t="inlineStr">
        <is>
          <t>Filled from stock/rate card</t>
        </is>
      </c>
    </row>
    <row r="15" ht="15" customHeight="1" s="66">
      <c r="A15" s="70" t="n">
        <v>11</v>
      </c>
      <c r="B15" s="70" t="inlineStr">
        <is>
          <t>OT Mop / Abd. Swab ×3</t>
        </is>
      </c>
      <c r="C15" s="70" t="n"/>
      <c r="D15" s="70" t="inlineStr">
        <is>
          <t>No.</t>
        </is>
      </c>
      <c r="E15" s="70" t="n">
        <v>3</v>
      </c>
      <c r="F15" s="71" t="n">
        <v>95</v>
      </c>
      <c r="G15" s="71">
        <f>E15*F15</f>
        <v/>
      </c>
      <c r="H15" s="71" t="n">
        <v>40.15</v>
      </c>
      <c r="I15" s="71">
        <f>E15*H15</f>
        <v/>
      </c>
      <c r="J15" s="70" t="inlineStr">
        <is>
          <t>B.P. 349</t>
        </is>
      </c>
    </row>
    <row r="16" ht="15" customHeight="1" s="66">
      <c r="A16" s="70" t="n">
        <v>12</v>
      </c>
      <c r="B16" s="70" t="inlineStr">
        <is>
          <t>Roller Bandage 6" ×3</t>
        </is>
      </c>
      <c r="C16" s="70" t="n"/>
      <c r="D16" s="70" t="inlineStr">
        <is>
          <t>No.</t>
        </is>
      </c>
      <c r="E16" s="70" t="n">
        <v>3</v>
      </c>
      <c r="F16" s="71" t="n">
        <v>124</v>
      </c>
      <c r="G16" s="71">
        <f>E16*F16</f>
        <v/>
      </c>
      <c r="H16" s="71" t="n">
        <v>78</v>
      </c>
      <c r="I16" s="71">
        <f>E16*H16</f>
        <v/>
      </c>
      <c r="J16" s="70" t="inlineStr">
        <is>
          <t>B.P. 340</t>
        </is>
      </c>
    </row>
    <row r="17" ht="15" customHeight="1" s="66">
      <c r="A17" s="70" t="n">
        <v>13</v>
      </c>
      <c r="B17" s="70" t="inlineStr">
        <is>
          <t>Cotton 100g ×2</t>
        </is>
      </c>
      <c r="C17" s="70" t="n"/>
      <c r="D17" s="70" t="inlineStr">
        <is>
          <t>No.</t>
        </is>
      </c>
      <c r="E17" s="70" t="n">
        <v>2</v>
      </c>
      <c r="F17" s="71" t="n">
        <v>160</v>
      </c>
      <c r="G17" s="71">
        <f>E17*F17</f>
        <v/>
      </c>
      <c r="H17" s="71" t="n">
        <v>47.62</v>
      </c>
      <c r="I17" s="71">
        <f>E17*H17</f>
        <v/>
      </c>
      <c r="J17" s="70" t="inlineStr">
        <is>
          <t>S.S.B. S000645</t>
        </is>
      </c>
    </row>
    <row r="18" ht="15" customHeight="1" s="66">
      <c r="A18" s="125" t="n">
        <v>14</v>
      </c>
      <c r="B18" s="125" t="inlineStr">
        <is>
          <t>Sterilium 50ml</t>
        </is>
      </c>
      <c r="C18" s="125" t="n"/>
      <c r="D18" s="125" t="inlineStr">
        <is>
          <t>No.</t>
        </is>
      </c>
      <c r="E18" s="125" t="n">
        <v>1</v>
      </c>
      <c r="F18" s="125" t="n">
        <v>150</v>
      </c>
      <c r="G18" s="125" t="n">
        <v>150</v>
      </c>
      <c r="H18" s="125" t="n">
        <v>38.1</v>
      </c>
      <c r="I18" s="125" t="n">
        <v>38.1</v>
      </c>
      <c r="J18" s="125" t="inlineStr">
        <is>
          <t>Filled from stock/rate card</t>
        </is>
      </c>
    </row>
    <row r="19" ht="15" customHeight="1" s="66">
      <c r="A19" s="70" t="n">
        <v>15</v>
      </c>
      <c r="B19" s="70" t="inlineStr">
        <is>
          <t>Gloves 7.0 ×5</t>
        </is>
      </c>
      <c r="C19" s="70" t="n"/>
      <c r="D19" s="70" t="inlineStr">
        <is>
          <t>No.</t>
        </is>
      </c>
      <c r="E19" s="70" t="n">
        <v>5</v>
      </c>
      <c r="F19" s="71" t="n">
        <v>91</v>
      </c>
      <c r="G19" s="71">
        <f>E19*F19</f>
        <v/>
      </c>
      <c r="H19" s="71" t="n">
        <v>19.06</v>
      </c>
      <c r="I19" s="71">
        <f>E19*H19</f>
        <v/>
      </c>
      <c r="J19" s="70" t="inlineStr">
        <is>
          <t>Vivekananda F/747</t>
        </is>
      </c>
    </row>
    <row r="20" ht="15" customHeight="1" s="66">
      <c r="A20" s="70" t="n">
        <v>16</v>
      </c>
      <c r="B20" s="70" t="inlineStr">
        <is>
          <t>NS 1000ml</t>
        </is>
      </c>
      <c r="C20" s="70" t="n"/>
      <c r="D20" s="70" t="inlineStr">
        <is>
          <t>No.</t>
        </is>
      </c>
      <c r="E20" s="70" t="n">
        <v>1</v>
      </c>
      <c r="F20" s="71" t="n">
        <v>61.17</v>
      </c>
      <c r="G20" s="71">
        <f>E20*F20</f>
        <v/>
      </c>
      <c r="H20" s="71" t="n">
        <v>30.48</v>
      </c>
      <c r="I20" s="71">
        <f>E20*H20</f>
        <v/>
      </c>
      <c r="J20" s="70" t="inlineStr">
        <is>
          <t>S.S.B. S000645</t>
        </is>
      </c>
    </row>
    <row r="21" ht="15" customHeight="1" s="66">
      <c r="A21" s="70" t="n">
        <v>17</v>
      </c>
      <c r="B21" s="70" t="inlineStr">
        <is>
          <t>NS 500ml ×2</t>
        </is>
      </c>
      <c r="C21" s="70" t="n"/>
      <c r="D21" s="70" t="inlineStr">
        <is>
          <t>No.</t>
        </is>
      </c>
      <c r="E21" s="70" t="n">
        <v>2</v>
      </c>
      <c r="F21" s="71" t="n">
        <v>36.6</v>
      </c>
      <c r="G21" s="71">
        <f>E21*F21</f>
        <v/>
      </c>
      <c r="H21" s="71" t="n">
        <v>17.62</v>
      </c>
      <c r="I21" s="71">
        <f>E21*H21</f>
        <v/>
      </c>
      <c r="J21" s="70" t="inlineStr">
        <is>
          <t>S.S.B. S000645</t>
        </is>
      </c>
    </row>
    <row r="22" ht="15" customHeight="1" s="66">
      <c r="A22" s="70" t="n">
        <v>18</v>
      </c>
      <c r="B22" s="70" t="inlineStr">
        <is>
          <t>Betadine Lotion 100ml</t>
        </is>
      </c>
      <c r="C22" s="70" t="n"/>
      <c r="D22" s="70" t="inlineStr">
        <is>
          <t>No.</t>
        </is>
      </c>
      <c r="E22" s="70" t="n">
        <v>1</v>
      </c>
      <c r="F22" s="71" t="n">
        <v>151.33</v>
      </c>
      <c r="G22" s="71">
        <f>E22*F22</f>
        <v/>
      </c>
      <c r="H22" s="71" t="n">
        <v>85.70999999999999</v>
      </c>
      <c r="I22" s="71">
        <f>E22*H22</f>
        <v/>
      </c>
      <c r="J22" s="70" t="inlineStr">
        <is>
          <t>S.S.B. S000645</t>
        </is>
      </c>
    </row>
    <row r="23" ht="15" customHeight="1" s="66">
      <c r="A23" s="70" t="n">
        <v>19</v>
      </c>
      <c r="B23" s="70" t="inlineStr">
        <is>
          <t>Betadine Scrub 100ml</t>
        </is>
      </c>
      <c r="C23" s="70" t="n"/>
      <c r="D23" s="70" t="inlineStr">
        <is>
          <t>No.</t>
        </is>
      </c>
      <c r="E23" s="70" t="n">
        <v>1</v>
      </c>
      <c r="F23" s="71" t="n">
        <v>151.33</v>
      </c>
      <c r="G23" s="71">
        <f>E23*F23</f>
        <v/>
      </c>
      <c r="H23" s="71" t="n">
        <v>85.70999999999999</v>
      </c>
      <c r="I23" s="71">
        <f>E23*H23</f>
        <v/>
      </c>
      <c r="J23" s="70" t="inlineStr">
        <is>
          <t>S.S.B. S000645</t>
        </is>
      </c>
    </row>
    <row r="24" ht="15" customHeight="1" s="66">
      <c r="A24" s="125" t="n">
        <v>20</v>
      </c>
      <c r="B24" s="125" t="inlineStr">
        <is>
          <t>Suture Ethilon 2-0 (SN3336)</t>
        </is>
      </c>
      <c r="C24" s="125" t="n"/>
      <c r="D24" s="125" t="inlineStr">
        <is>
          <t>No.</t>
        </is>
      </c>
      <c r="E24" s="125" t="n">
        <v>1</v>
      </c>
      <c r="F24" s="125" t="n">
        <v>277</v>
      </c>
      <c r="G24" s="125" t="n">
        <v>277</v>
      </c>
      <c r="H24" s="125" t="n">
        <v>49.52</v>
      </c>
      <c r="I24" s="125" t="n">
        <v>49.52</v>
      </c>
      <c r="J24" s="125" t="inlineStr">
        <is>
          <t>Filled from stock/rate card</t>
        </is>
      </c>
    </row>
    <row r="25" ht="15" customHeight="1" s="66">
      <c r="A25" s="125" t="n">
        <v>21</v>
      </c>
      <c r="B25" s="125" t="inlineStr">
        <is>
          <t>Surgical Blade</t>
        </is>
      </c>
      <c r="C25" s="125" t="n"/>
      <c r="D25" s="125" t="inlineStr">
        <is>
          <t>No.</t>
        </is>
      </c>
      <c r="E25" s="125" t="n">
        <v>1</v>
      </c>
      <c r="F25" s="125" t="n">
        <v>750</v>
      </c>
      <c r="G25" s="125" t="n">
        <v>750</v>
      </c>
      <c r="H25" s="125" t="inlineStr">
        <is>
          <t>⚠</t>
        </is>
      </c>
      <c r="I25" s="125" t="inlineStr">
        <is>
          <t>⚠</t>
        </is>
      </c>
      <c r="J25" s="125" t="inlineStr">
        <is>
          <t>MRP filled; cost ⚠</t>
        </is>
      </c>
    </row>
    <row r="26" ht="15" customHeight="1" s="66">
      <c r="A26" s="70" t="n">
        <v>22</v>
      </c>
      <c r="B26" s="70" t="inlineStr">
        <is>
          <t>IV Cannula 20G</t>
        </is>
      </c>
      <c r="C26" s="70" t="n"/>
      <c r="D26" s="70" t="inlineStr">
        <is>
          <t>No.</t>
        </is>
      </c>
      <c r="E26" s="70" t="n">
        <v>1</v>
      </c>
      <c r="F26" s="71" t="n">
        <v>198</v>
      </c>
      <c r="G26" s="71">
        <f>E26*F26</f>
        <v/>
      </c>
      <c r="H26" s="71" t="n">
        <v>7.14</v>
      </c>
      <c r="I26" s="71">
        <f>E26*H26</f>
        <v/>
      </c>
      <c r="J26" s="70" t="inlineStr">
        <is>
          <t>S.S.B. S000399</t>
        </is>
      </c>
    </row>
    <row r="27" ht="15" customHeight="1" s="66">
      <c r="A27" s="70" t="n">
        <v>23</v>
      </c>
      <c r="B27" s="70" t="inlineStr">
        <is>
          <t>Easyfix</t>
        </is>
      </c>
      <c r="C27" s="70" t="n"/>
      <c r="D27" s="70" t="inlineStr">
        <is>
          <t>No.</t>
        </is>
      </c>
      <c r="E27" s="70" t="n">
        <v>1</v>
      </c>
      <c r="F27" s="71" t="n">
        <v>80.59999999999999</v>
      </c>
      <c r="G27" s="71">
        <f>E27*F27</f>
        <v/>
      </c>
      <c r="H27" s="71" t="n">
        <v>42.86</v>
      </c>
      <c r="I27" s="71">
        <f>E27*H27</f>
        <v/>
      </c>
      <c r="J27" s="70" t="inlineStr">
        <is>
          <t>S.S.B. S000293</t>
        </is>
      </c>
    </row>
    <row r="28" ht="15" customHeight="1" s="66">
      <c r="A28" s="70" t="n">
        <v>24</v>
      </c>
      <c r="B28" s="70" t="inlineStr">
        <is>
          <t>IV Set (Sangoflex)</t>
        </is>
      </c>
      <c r="C28" s="70" t="n"/>
      <c r="D28" s="70" t="inlineStr">
        <is>
          <t>No.</t>
        </is>
      </c>
      <c r="E28" s="70" t="n">
        <v>1</v>
      </c>
      <c r="F28" s="71" t="n">
        <v>201</v>
      </c>
      <c r="G28" s="71">
        <f>E28*F28</f>
        <v/>
      </c>
      <c r="H28" s="71" t="n">
        <v>11.9</v>
      </c>
      <c r="I28" s="71">
        <f>E28*H28</f>
        <v/>
      </c>
      <c r="J28" s="70" t="inlineStr">
        <is>
          <t>S.S.B. S000400</t>
        </is>
      </c>
    </row>
    <row r="29" ht="15" customHeight="1" s="66">
      <c r="A29" s="70" t="n">
        <v>25</v>
      </c>
      <c r="B29" s="70" t="inlineStr">
        <is>
          <t>Syringe 10ml</t>
        </is>
      </c>
      <c r="C29" s="70" t="n"/>
      <c r="D29" s="70" t="inlineStr">
        <is>
          <t>No.</t>
        </is>
      </c>
      <c r="E29" s="70" t="n">
        <v>1</v>
      </c>
      <c r="F29" s="71" t="n">
        <v>13.3</v>
      </c>
      <c r="G29" s="71">
        <f>E29*F29</f>
        <v/>
      </c>
      <c r="H29" s="71" t="n">
        <v>5.3</v>
      </c>
      <c r="I29" s="71">
        <f>E29*H29</f>
        <v/>
      </c>
      <c r="J29" s="70" t="inlineStr">
        <is>
          <t>M.R. MR000753</t>
        </is>
      </c>
    </row>
    <row r="30" ht="15" customHeight="1" s="66">
      <c r="A30" s="70" t="n">
        <v>26</v>
      </c>
      <c r="B30" s="70" t="inlineStr">
        <is>
          <t>Syringe 5ml</t>
        </is>
      </c>
      <c r="C30" s="70" t="n"/>
      <c r="D30" s="70" t="inlineStr">
        <is>
          <t>No.</t>
        </is>
      </c>
      <c r="E30" s="70" t="n">
        <v>1</v>
      </c>
      <c r="F30" s="71" t="n">
        <v>10.23</v>
      </c>
      <c r="G30" s="71">
        <f>E30*F30</f>
        <v/>
      </c>
      <c r="H30" s="71" t="n">
        <v>3.5</v>
      </c>
      <c r="I30" s="71">
        <f>E30*H30</f>
        <v/>
      </c>
      <c r="J30" s="70" t="inlineStr">
        <is>
          <t>M.R. MR000539</t>
        </is>
      </c>
    </row>
    <row r="31" ht="15" customHeight="1" s="66">
      <c r="A31" s="70" t="n">
        <v>27</v>
      </c>
      <c r="B31" s="70" t="inlineStr">
        <is>
          <t>NS 500ml</t>
        </is>
      </c>
      <c r="C31" s="70" t="n"/>
      <c r="D31" s="70" t="inlineStr">
        <is>
          <t>No.</t>
        </is>
      </c>
      <c r="E31" s="70" t="n">
        <v>1</v>
      </c>
      <c r="F31" s="71" t="n">
        <v>36.6</v>
      </c>
      <c r="G31" s="71">
        <f>E31*F31</f>
        <v/>
      </c>
      <c r="H31" s="71" t="n">
        <v>17.62</v>
      </c>
      <c r="I31" s="71">
        <f>E31*H31</f>
        <v/>
      </c>
      <c r="J31" s="70" t="inlineStr">
        <is>
          <t>S.S.B. S000645</t>
        </is>
      </c>
    </row>
    <row r="32" ht="15" customHeight="1" s="66">
      <c r="A32" s="70" t="n">
        <v>28</v>
      </c>
      <c r="B32" s="70" t="inlineStr">
        <is>
          <t>Inj. Pan 40 IV ×2</t>
        </is>
      </c>
      <c r="C32" s="70" t="n"/>
      <c r="D32" s="70" t="inlineStr">
        <is>
          <t>No.</t>
        </is>
      </c>
      <c r="E32" s="70" t="n">
        <v>2</v>
      </c>
      <c r="F32" s="71" t="n">
        <v>54.24</v>
      </c>
      <c r="G32" s="71">
        <f>E32*F32</f>
        <v/>
      </c>
      <c r="H32" s="71" t="n">
        <v>18</v>
      </c>
      <c r="I32" s="71">
        <f>E32*H32</f>
        <v/>
      </c>
      <c r="J32" s="70" t="inlineStr">
        <is>
          <t>M.R. MR000604</t>
        </is>
      </c>
    </row>
    <row r="33" ht="15" customHeight="1" s="66">
      <c r="A33" s="129" t="n">
        <v>29</v>
      </c>
      <c r="B33" s="129" t="inlineStr">
        <is>
          <t>Inj. Zofer (Ondansetron) ×3</t>
        </is>
      </c>
      <c r="C33" s="129" t="n"/>
      <c r="D33" s="129" t="inlineStr">
        <is>
          <t>No.</t>
        </is>
      </c>
      <c r="E33" s="129" t="n">
        <v>3</v>
      </c>
      <c r="F33" s="130" t="n">
        <v>146.25</v>
      </c>
      <c r="G33" s="130">
        <f>E33*F33</f>
        <v/>
      </c>
      <c r="H33" s="130" t="n">
        <v>109.52</v>
      </c>
      <c r="I33" s="130">
        <f>E33*H33</f>
        <v/>
      </c>
      <c r="J33" s="129" t="inlineStr">
        <is>
          <t>⚠ MRP OUTLIER — verify batch; S.S.B. S000670</t>
        </is>
      </c>
    </row>
    <row r="34" ht="15" customHeight="1" s="66">
      <c r="A34" s="70" t="n">
        <v>30</v>
      </c>
      <c r="B34" s="70" t="inlineStr">
        <is>
          <t>Inj. Xone 1g (Ceftriaxone) ×2</t>
        </is>
      </c>
      <c r="C34" s="70" t="n"/>
      <c r="D34" s="70" t="inlineStr">
        <is>
          <t>No.</t>
        </is>
      </c>
      <c r="E34" s="70" t="n">
        <v>2</v>
      </c>
      <c r="F34" s="71" t="n">
        <v>66.64</v>
      </c>
      <c r="G34" s="71">
        <f>E34*F34</f>
        <v/>
      </c>
      <c r="H34" s="71" t="n">
        <v>25.71</v>
      </c>
      <c r="I34" s="71">
        <f>E34*H34</f>
        <v/>
      </c>
      <c r="J34" s="70" t="inlineStr">
        <is>
          <t>S.S.B. S000135</t>
        </is>
      </c>
    </row>
    <row r="35" ht="15" customHeight="1" s="66">
      <c r="A35" s="125" t="n">
        <v>31</v>
      </c>
      <c r="B35" s="125" t="inlineStr">
        <is>
          <t>CBG Blood Glucose Test</t>
        </is>
      </c>
      <c r="C35" s="125" t="n"/>
      <c r="D35" s="125" t="inlineStr">
        <is>
          <t>No.</t>
        </is>
      </c>
      <c r="E35" s="125" t="n">
        <v>1</v>
      </c>
      <c r="F35" s="125" t="n">
        <v>785</v>
      </c>
      <c r="G35" s="125" t="n">
        <v>785</v>
      </c>
      <c r="H35" s="125" t="inlineStr">
        <is>
          <t>⚠</t>
        </is>
      </c>
      <c r="I35" s="125" t="inlineStr">
        <is>
          <t>⚠</t>
        </is>
      </c>
      <c r="J35" s="125" t="inlineStr">
        <is>
          <t>MRP filled; cost ⚠</t>
        </is>
      </c>
    </row>
    <row r="36" ht="15" customHeight="1" s="66">
      <c r="A36" s="70" t="n">
        <v>32</v>
      </c>
      <c r="B36" s="70" t="inlineStr">
        <is>
          <t>Needle 26G</t>
        </is>
      </c>
      <c r="C36" s="70" t="n"/>
      <c r="D36" s="70" t="inlineStr">
        <is>
          <t>No.</t>
        </is>
      </c>
      <c r="E36" s="70" t="n">
        <v>1</v>
      </c>
      <c r="F36" s="71" t="n">
        <v>243.75</v>
      </c>
      <c r="G36" s="71">
        <f>E36*F36</f>
        <v/>
      </c>
      <c r="H36" s="71" t="n">
        <v>80.95</v>
      </c>
      <c r="I36" s="71">
        <f>E36*H36</f>
        <v/>
      </c>
      <c r="J36" s="70" t="inlineStr">
        <is>
          <t>S.S.B. S000092</t>
        </is>
      </c>
    </row>
    <row r="37" ht="15" customHeight="1" s="66">
      <c r="A37" s="125" t="n">
        <v>33</v>
      </c>
      <c r="B37" s="125" t="inlineStr">
        <is>
          <t>Inj. Dynapar AQ (Diclofenac) ×2</t>
        </is>
      </c>
      <c r="C37" s="125" t="n"/>
      <c r="D37" s="125" t="inlineStr">
        <is>
          <t>No.</t>
        </is>
      </c>
      <c r="E37" s="125" t="n">
        <v>2</v>
      </c>
      <c r="F37" s="125" t="n">
        <v>23.8</v>
      </c>
      <c r="G37" s="125" t="n">
        <v>47.6</v>
      </c>
      <c r="H37" s="125" t="n">
        <v>8.57</v>
      </c>
      <c r="I37" s="125" t="n">
        <v>17.14</v>
      </c>
      <c r="J37" s="125" t="inlineStr">
        <is>
          <t>Filled from stock/rate card</t>
        </is>
      </c>
    </row>
    <row r="38" ht="15" customHeight="1" s="66">
      <c r="A38" s="70" t="n">
        <v>34</v>
      </c>
      <c r="B38" s="70" t="inlineStr">
        <is>
          <t>IVF RL 500ml</t>
        </is>
      </c>
      <c r="C38" s="70" t="n"/>
      <c r="D38" s="70" t="inlineStr">
        <is>
          <t>No.</t>
        </is>
      </c>
      <c r="E38" s="70" t="n">
        <v>1</v>
      </c>
      <c r="F38" s="71" t="n">
        <v>59.31</v>
      </c>
      <c r="G38" s="71">
        <f>E38*F38</f>
        <v/>
      </c>
      <c r="H38" s="71" t="n">
        <v>18.57</v>
      </c>
      <c r="I38" s="71">
        <f>E38*H38</f>
        <v/>
      </c>
      <c r="J38" s="70" t="inlineStr">
        <is>
          <t>S.S.B. S000645</t>
        </is>
      </c>
    </row>
    <row r="39" ht="15" customHeight="1" s="66">
      <c r="A39" s="126" t="inlineStr">
        <is>
          <t xml:space="preserve">  Subtotal — Consumables / Medicines</t>
        </is>
      </c>
      <c r="G39" s="127">
        <f>SUM(G5:G38)</f>
        <v/>
      </c>
      <c r="H39" s="128" t="n"/>
      <c r="I39" s="127">
        <f>SUM(I5:I38)</f>
        <v/>
      </c>
      <c r="J39" s="128" t="n"/>
    </row>
    <row r="41" ht="15" customHeight="1" s="66">
      <c r="A41" s="124" t="inlineStr">
        <is>
          <t xml:space="preserve">  SECTION B — ROOM / BED CHARGES</t>
        </is>
      </c>
    </row>
    <row r="42" ht="15" customHeight="1" s="66">
      <c r="A42" s="70" t="n">
        <v>1</v>
      </c>
      <c r="B42" s="70" t="inlineStr">
        <is>
          <t>Bed / Room Charges</t>
        </is>
      </c>
      <c r="C42" s="70" t="inlineStr">
        <is>
          <t>Ward</t>
        </is>
      </c>
      <c r="D42" s="70" t="inlineStr">
        <is>
          <t>Day</t>
        </is>
      </c>
      <c r="E42" s="70" t="n">
        <v>1</v>
      </c>
      <c r="F42" s="71" t="n">
        <v>1000</v>
      </c>
      <c r="G42" s="71">
        <f>E42*F42</f>
        <v/>
      </c>
      <c r="H42" s="70" t="inlineStr">
        <is>
          <t>—</t>
        </is>
      </c>
      <c r="I42" s="70" t="inlineStr">
        <is>
          <t>—</t>
        </is>
      </c>
      <c r="J42" s="70" t="inlineStr">
        <is>
          <t>Per sheet</t>
        </is>
      </c>
    </row>
    <row r="44" ht="15" customHeight="1" s="66">
      <c r="A44" s="124" t="inlineStr">
        <is>
          <t xml:space="preserve">  SECTION C — OT / PROCEDURE CHARGES</t>
        </is>
      </c>
    </row>
    <row r="45" ht="15" customHeight="1" s="66">
      <c r="A45" s="70" t="n">
        <v>1</v>
      </c>
      <c r="B45" s="70" t="inlineStr">
        <is>
          <t>OT / Procedure Charges</t>
        </is>
      </c>
      <c r="C45" s="70" t="inlineStr">
        <is>
          <t>Per procedure</t>
        </is>
      </c>
      <c r="D45" s="70" t="inlineStr">
        <is>
          <t>—</t>
        </is>
      </c>
      <c r="E45" s="70" t="n">
        <v>1</v>
      </c>
      <c r="F45" s="71" t="n">
        <v>1500</v>
      </c>
      <c r="G45" s="71">
        <f>E45*F45</f>
        <v/>
      </c>
      <c r="H45" s="70" t="inlineStr">
        <is>
          <t>—</t>
        </is>
      </c>
      <c r="I45" s="70" t="inlineStr">
        <is>
          <t>—</t>
        </is>
      </c>
      <c r="J45" s="70" t="inlineStr">
        <is>
          <t>Per sheet</t>
        </is>
      </c>
    </row>
    <row r="47" ht="15" customHeight="1" s="66">
      <c r="A47" s="72" t="inlineStr">
        <is>
          <t>GRAND TOTAL PATIENT BILL</t>
        </is>
      </c>
      <c r="G47" s="73">
        <f>G39+SUM(G42:G42)+SUM(G45:G45)</f>
        <v/>
      </c>
      <c r="H47" s="73">
        <f>I39</f>
        <v/>
      </c>
      <c r="I47" s="73">
        <f>G47-H47</f>
        <v/>
      </c>
      <c r="J47" s="72" t="inlineStr">
        <is>
          <t>Bill | Cost | Margin</t>
        </is>
      </c>
    </row>
  </sheetData>
  <mergeCells count="6">
    <mergeCell ref="A44:J44"/>
    <mergeCell ref="A1:J1"/>
    <mergeCell ref="A47:F47"/>
    <mergeCell ref="A3:J3"/>
    <mergeCell ref="A39:F39"/>
    <mergeCell ref="A41:J4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J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Sayantan Mondal</t>
        </is>
      </c>
      <c r="E2" s="123" t="inlineStr">
        <is>
          <t>Doctor: Dr. K. Digga</t>
        </is>
      </c>
      <c r="G2" s="123" t="inlineStr">
        <is>
          <t>Date: 21/06/2026</t>
        </is>
      </c>
      <c r="I2" s="123" t="inlineStr">
        <is>
          <t>Proc: Block — Paediatric (7Y/23kg)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125" t="n">
        <v>1</v>
      </c>
      <c r="B5" s="125" t="inlineStr">
        <is>
          <t>Needles 18G ×2</t>
        </is>
      </c>
      <c r="C5" s="125" t="n"/>
      <c r="D5" s="125" t="inlineStr">
        <is>
          <t>No.</t>
        </is>
      </c>
      <c r="E5" s="125" t="n">
        <v>2</v>
      </c>
      <c r="F5" s="125" t="n">
        <v>3.38</v>
      </c>
      <c r="G5" s="125" t="n">
        <v>6.76</v>
      </c>
      <c r="H5" s="125" t="inlineStr">
        <is>
          <t>⚠</t>
        </is>
      </c>
      <c r="I5" s="125" t="inlineStr">
        <is>
          <t>⚠</t>
        </is>
      </c>
      <c r="J5" s="125" t="inlineStr">
        <is>
          <t>MRP filled; cost ⚠</t>
        </is>
      </c>
    </row>
    <row r="6" ht="15" customHeight="1" s="66">
      <c r="A6" s="70" t="n">
        <v>2</v>
      </c>
      <c r="B6" s="70" t="inlineStr">
        <is>
          <t>Syringe 2cc</t>
        </is>
      </c>
      <c r="C6" s="70" t="n"/>
      <c r="D6" s="70" t="inlineStr">
        <is>
          <t>No.</t>
        </is>
      </c>
      <c r="E6" s="70" t="n">
        <v>1</v>
      </c>
      <c r="F6" s="71" t="n">
        <v>8.449999999999999</v>
      </c>
      <c r="G6" s="71">
        <f>E6*F6</f>
        <v/>
      </c>
      <c r="H6" s="71" t="n">
        <v>2.3</v>
      </c>
      <c r="I6" s="71">
        <f>E6*H6</f>
        <v/>
      </c>
      <c r="J6" s="70" t="inlineStr">
        <is>
          <t>M.R. MR000753</t>
        </is>
      </c>
    </row>
    <row r="7" ht="15" customHeight="1" s="66">
      <c r="A7" s="70" t="n">
        <v>3</v>
      </c>
      <c r="B7" s="70" t="inlineStr">
        <is>
          <t>Syringe 5cc ×2</t>
        </is>
      </c>
      <c r="C7" s="70" t="n"/>
      <c r="D7" s="70" t="inlineStr">
        <is>
          <t>No.</t>
        </is>
      </c>
      <c r="E7" s="70" t="n">
        <v>2</v>
      </c>
      <c r="F7" s="71" t="n">
        <v>10.23</v>
      </c>
      <c r="G7" s="71">
        <f>E7*F7</f>
        <v/>
      </c>
      <c r="H7" s="71" t="n">
        <v>3.5</v>
      </c>
      <c r="I7" s="71">
        <f>E7*H7</f>
        <v/>
      </c>
      <c r="J7" s="70" t="inlineStr">
        <is>
          <t>M.R. MR000539</t>
        </is>
      </c>
    </row>
    <row r="8" ht="15" customHeight="1" s="66">
      <c r="A8" s="70" t="n">
        <v>4</v>
      </c>
      <c r="B8" s="70" t="inlineStr">
        <is>
          <t>Syringe 10cc ×3</t>
        </is>
      </c>
      <c r="C8" s="70" t="n"/>
      <c r="D8" s="70" t="inlineStr">
        <is>
          <t>No.</t>
        </is>
      </c>
      <c r="E8" s="70" t="n">
        <v>3</v>
      </c>
      <c r="F8" s="71" t="n">
        <v>13.3</v>
      </c>
      <c r="G8" s="71">
        <f>E8*F8</f>
        <v/>
      </c>
      <c r="H8" s="71" t="n">
        <v>5.3</v>
      </c>
      <c r="I8" s="71">
        <f>E8*H8</f>
        <v/>
      </c>
      <c r="J8" s="70" t="inlineStr">
        <is>
          <t>M.R. MR000753</t>
        </is>
      </c>
    </row>
    <row r="9" ht="15" customHeight="1" s="66">
      <c r="A9" s="70" t="n">
        <v>5</v>
      </c>
      <c r="B9" s="70" t="inlineStr">
        <is>
          <t>Distilled Water 10ml ×4</t>
        </is>
      </c>
      <c r="C9" s="70" t="n"/>
      <c r="D9" s="70" t="inlineStr">
        <is>
          <t>No.</t>
        </is>
      </c>
      <c r="E9" s="70" t="n">
        <v>4</v>
      </c>
      <c r="F9" s="71" t="n">
        <v>3.24</v>
      </c>
      <c r="G9" s="71">
        <f>E9*F9</f>
        <v/>
      </c>
      <c r="H9" s="71" t="n">
        <v>2.51</v>
      </c>
      <c r="I9" s="71">
        <f>E9*H9</f>
        <v/>
      </c>
      <c r="J9" s="70" t="inlineStr">
        <is>
          <t>Vivekananda F/747</t>
        </is>
      </c>
    </row>
    <row r="10" ht="15" customHeight="1" s="66">
      <c r="A10" s="70" t="n">
        <v>6</v>
      </c>
      <c r="B10" s="70" t="inlineStr">
        <is>
          <t>Inj. Lox 2% Adrenaline 30ml (Block)</t>
        </is>
      </c>
      <c r="C10" s="70" t="n"/>
      <c r="D10" s="70" t="inlineStr">
        <is>
          <t>No.</t>
        </is>
      </c>
      <c r="E10" s="70" t="n">
        <v>1</v>
      </c>
      <c r="F10" s="71" t="n">
        <v>33.3</v>
      </c>
      <c r="G10" s="71">
        <f>E10*F10</f>
        <v/>
      </c>
      <c r="H10" s="71" t="n">
        <v>25.24</v>
      </c>
      <c r="I10" s="71">
        <f>E10*H10</f>
        <v/>
      </c>
      <c r="J10" s="70" t="inlineStr">
        <is>
          <t>S.S.B. S000645</t>
        </is>
      </c>
    </row>
    <row r="11" ht="15" customHeight="1" s="66">
      <c r="A11" s="70" t="n">
        <v>7</v>
      </c>
      <c r="B11" s="70" t="inlineStr">
        <is>
          <t>Inj. Atropine + Midazolam</t>
        </is>
      </c>
      <c r="C11" s="70" t="n"/>
      <c r="D11" s="70" t="inlineStr">
        <is>
          <t>No.</t>
        </is>
      </c>
      <c r="E11" s="70" t="n">
        <v>1</v>
      </c>
      <c r="F11" s="71" t="n">
        <v>7.3</v>
      </c>
      <c r="G11" s="71">
        <f>E11*F11</f>
        <v/>
      </c>
      <c r="H11" s="71" t="n">
        <v>5.71</v>
      </c>
      <c r="I11" s="71">
        <f>E11*H11</f>
        <v/>
      </c>
      <c r="J11" s="70" t="inlineStr">
        <is>
          <t>S.S.B. S000400</t>
        </is>
      </c>
    </row>
    <row r="12" ht="15" customHeight="1" s="66">
      <c r="A12" s="70" t="n">
        <v>8</v>
      </c>
      <c r="B12" s="70" t="inlineStr">
        <is>
          <t>Inj. Ketamine 10ml</t>
        </is>
      </c>
      <c r="C12" s="70" t="n"/>
      <c r="D12" s="70" t="inlineStr">
        <is>
          <t>No.</t>
        </is>
      </c>
      <c r="E12" s="70" t="n">
        <v>1</v>
      </c>
      <c r="F12" s="71" t="n">
        <v>250</v>
      </c>
      <c r="G12" s="71">
        <f>E12*F12</f>
        <v/>
      </c>
      <c r="H12" s="71" t="n">
        <v>200</v>
      </c>
      <c r="I12" s="71">
        <f>E12*H12</f>
        <v/>
      </c>
      <c r="J12" s="70" t="inlineStr">
        <is>
          <t>manual</t>
        </is>
      </c>
    </row>
    <row r="13" ht="15" customHeight="1" s="66">
      <c r="A13" s="70" t="n">
        <v>9</v>
      </c>
      <c r="B13" s="70" t="inlineStr">
        <is>
          <t>Inj. Anawin 0.5% 20ml (Bupivacaine)</t>
        </is>
      </c>
      <c r="C13" s="70" t="n"/>
      <c r="D13" s="70" t="inlineStr">
        <is>
          <t>No.</t>
        </is>
      </c>
      <c r="E13" s="70" t="n">
        <v>1</v>
      </c>
      <c r="F13" s="71" t="n">
        <v>33.3</v>
      </c>
      <c r="G13" s="71">
        <f>E13*F13</f>
        <v/>
      </c>
      <c r="H13" s="71" t="n">
        <v>25.24</v>
      </c>
      <c r="I13" s="71">
        <f>E13*H13</f>
        <v/>
      </c>
      <c r="J13" s="70" t="inlineStr">
        <is>
          <t>S.S.B. S000645</t>
        </is>
      </c>
    </row>
    <row r="14" ht="15" customHeight="1" s="66">
      <c r="A14" s="125" t="n">
        <v>10</v>
      </c>
      <c r="B14" s="125" t="inlineStr">
        <is>
          <t>Inj. Glycopyrrolate</t>
        </is>
      </c>
      <c r="C14" s="125" t="n"/>
      <c r="D14" s="125" t="inlineStr">
        <is>
          <t>No.</t>
        </is>
      </c>
      <c r="E14" s="125" t="n">
        <v>1</v>
      </c>
      <c r="F14" s="125" t="n">
        <v>15.37</v>
      </c>
      <c r="G14" s="125" t="n">
        <v>15.37</v>
      </c>
      <c r="H14" s="125" t="n">
        <v>11.24</v>
      </c>
      <c r="I14" s="125" t="n">
        <v>11.24</v>
      </c>
      <c r="J14" s="125" t="inlineStr">
        <is>
          <t>Filled from stock/rate card</t>
        </is>
      </c>
    </row>
    <row r="15" ht="15" customHeight="1" s="66">
      <c r="A15" s="125" t="n">
        <v>11</v>
      </c>
      <c r="B15" s="125" t="inlineStr">
        <is>
          <t>Gauze Pieces ×35 (15+20)</t>
        </is>
      </c>
      <c r="C15" s="125" t="n"/>
      <c r="D15" s="125" t="inlineStr">
        <is>
          <t>No.</t>
        </is>
      </c>
      <c r="E15" s="125" t="n">
        <v>35</v>
      </c>
      <c r="F15" s="125" t="n">
        <v>14</v>
      </c>
      <c r="G15" s="125" t="n">
        <v>490</v>
      </c>
      <c r="H15" s="125" t="n">
        <v>5.46</v>
      </c>
      <c r="I15" s="125" t="n">
        <v>191.1</v>
      </c>
      <c r="J15" s="125" t="inlineStr">
        <is>
          <t>Filled from stock/rate card</t>
        </is>
      </c>
    </row>
    <row r="16" ht="15" customHeight="1" s="66">
      <c r="A16" s="70" t="n">
        <v>12</v>
      </c>
      <c r="B16" s="70" t="inlineStr">
        <is>
          <t>OT Mop / Abd. Swab</t>
        </is>
      </c>
      <c r="C16" s="70" t="n"/>
      <c r="D16" s="70" t="inlineStr">
        <is>
          <t>No.</t>
        </is>
      </c>
      <c r="E16" s="70" t="n">
        <v>1</v>
      </c>
      <c r="F16" s="71" t="n">
        <v>95</v>
      </c>
      <c r="G16" s="71">
        <f>E16*F16</f>
        <v/>
      </c>
      <c r="H16" s="71" t="n">
        <v>40.15</v>
      </c>
      <c r="I16" s="71">
        <f>E16*H16</f>
        <v/>
      </c>
      <c r="J16" s="70" t="inlineStr">
        <is>
          <t>B.P. 349</t>
        </is>
      </c>
    </row>
    <row r="17" ht="15" customHeight="1" s="66">
      <c r="A17" s="70" t="n">
        <v>13</v>
      </c>
      <c r="B17" s="70" t="inlineStr">
        <is>
          <t>Roller Bandage 6" ×2</t>
        </is>
      </c>
      <c r="C17" s="70" t="n"/>
      <c r="D17" s="70" t="inlineStr">
        <is>
          <t>No.</t>
        </is>
      </c>
      <c r="E17" s="70" t="n">
        <v>2</v>
      </c>
      <c r="F17" s="71" t="n">
        <v>124</v>
      </c>
      <c r="G17" s="71">
        <f>E17*F17</f>
        <v/>
      </c>
      <c r="H17" s="71" t="n">
        <v>78</v>
      </c>
      <c r="I17" s="71">
        <f>E17*H17</f>
        <v/>
      </c>
      <c r="J17" s="70" t="inlineStr">
        <is>
          <t>B.P. 340</t>
        </is>
      </c>
    </row>
    <row r="18" ht="15" customHeight="1" s="66">
      <c r="A18" s="70" t="n">
        <v>14</v>
      </c>
      <c r="B18" s="70" t="inlineStr">
        <is>
          <t>Cotton 100g</t>
        </is>
      </c>
      <c r="C18" s="70" t="n"/>
      <c r="D18" s="70" t="inlineStr">
        <is>
          <t>No.</t>
        </is>
      </c>
      <c r="E18" s="70" t="n">
        <v>1</v>
      </c>
      <c r="F18" s="71" t="n">
        <v>160</v>
      </c>
      <c r="G18" s="71">
        <f>E18*F18</f>
        <v/>
      </c>
      <c r="H18" s="71" t="n">
        <v>47.62</v>
      </c>
      <c r="I18" s="71">
        <f>E18*H18</f>
        <v/>
      </c>
      <c r="J18" s="70" t="inlineStr">
        <is>
          <t>S.S.B. S000645</t>
        </is>
      </c>
    </row>
    <row r="19" ht="15" customHeight="1" s="66">
      <c r="A19" s="125" t="n">
        <v>15</v>
      </c>
      <c r="B19" s="125" t="inlineStr">
        <is>
          <t>Sterilium 50ml</t>
        </is>
      </c>
      <c r="C19" s="125" t="n"/>
      <c r="D19" s="125" t="inlineStr">
        <is>
          <t>No.</t>
        </is>
      </c>
      <c r="E19" s="125" t="n">
        <v>1</v>
      </c>
      <c r="F19" s="125" t="n">
        <v>150</v>
      </c>
      <c r="G19" s="125" t="n">
        <v>150</v>
      </c>
      <c r="H19" s="125" t="n">
        <v>38.1</v>
      </c>
      <c r="I19" s="125" t="n">
        <v>38.1</v>
      </c>
      <c r="J19" s="125" t="inlineStr">
        <is>
          <t>Filled from stock/rate card</t>
        </is>
      </c>
    </row>
    <row r="20" ht="15" customHeight="1" s="66">
      <c r="A20" s="70" t="n">
        <v>16</v>
      </c>
      <c r="B20" s="70" t="inlineStr">
        <is>
          <t>Gloves 7.0 ×5</t>
        </is>
      </c>
      <c r="C20" s="70" t="n"/>
      <c r="D20" s="70" t="inlineStr">
        <is>
          <t>No.</t>
        </is>
      </c>
      <c r="E20" s="70" t="n">
        <v>5</v>
      </c>
      <c r="F20" s="71" t="n">
        <v>91</v>
      </c>
      <c r="G20" s="71">
        <f>E20*F20</f>
        <v/>
      </c>
      <c r="H20" s="71" t="n">
        <v>19.06</v>
      </c>
      <c r="I20" s="71">
        <f>E20*H20</f>
        <v/>
      </c>
      <c r="J20" s="70" t="inlineStr">
        <is>
          <t>Vivekananda F/747</t>
        </is>
      </c>
    </row>
    <row r="21" ht="15" customHeight="1" s="66">
      <c r="A21" s="70" t="n">
        <v>17</v>
      </c>
      <c r="B21" s="70" t="inlineStr">
        <is>
          <t>Plain Sheet (OT Draping)</t>
        </is>
      </c>
      <c r="C21" s="70" t="n"/>
      <c r="D21" s="70" t="inlineStr">
        <is>
          <t>No.</t>
        </is>
      </c>
      <c r="E21" s="70" t="n">
        <v>1</v>
      </c>
      <c r="F21" s="71" t="n">
        <v>119.5</v>
      </c>
      <c r="G21" s="71">
        <f>E21*F21</f>
        <v/>
      </c>
      <c r="H21" s="71" t="n">
        <v>57.96</v>
      </c>
      <c r="I21" s="71">
        <f>E21*H21</f>
        <v/>
      </c>
      <c r="J21" s="70" t="inlineStr">
        <is>
          <t>M.R. MR000352</t>
        </is>
      </c>
    </row>
    <row r="22" ht="15" customHeight="1" s="66">
      <c r="A22" s="125" t="n">
        <v>18</v>
      </c>
      <c r="B22" s="125" t="inlineStr">
        <is>
          <t>Cap + Mask ×4</t>
        </is>
      </c>
      <c r="C22" s="125" t="n"/>
      <c r="D22" s="125" t="inlineStr">
        <is>
          <t>No.</t>
        </is>
      </c>
      <c r="E22" s="125" t="n">
        <v>4</v>
      </c>
      <c r="F22" s="125" t="n">
        <v>25</v>
      </c>
      <c r="G22" s="125" t="n">
        <v>100</v>
      </c>
      <c r="H22" s="125" t="inlineStr">
        <is>
          <t>⚠</t>
        </is>
      </c>
      <c r="I22" s="125" t="inlineStr">
        <is>
          <t>⚠</t>
        </is>
      </c>
      <c r="J22" s="125" t="inlineStr">
        <is>
          <t>MRP filled; cost ⚠</t>
        </is>
      </c>
    </row>
    <row r="23" ht="15" customHeight="1" s="66">
      <c r="A23" s="70" t="n">
        <v>19</v>
      </c>
      <c r="B23" s="70" t="inlineStr">
        <is>
          <t>Betadine Lotion 100ml</t>
        </is>
      </c>
      <c r="C23" s="70" t="n"/>
      <c r="D23" s="70" t="inlineStr">
        <is>
          <t>No.</t>
        </is>
      </c>
      <c r="E23" s="70" t="n">
        <v>1</v>
      </c>
      <c r="F23" s="71" t="n">
        <v>151.33</v>
      </c>
      <c r="G23" s="71">
        <f>E23*F23</f>
        <v/>
      </c>
      <c r="H23" s="71" t="n">
        <v>85.70999999999999</v>
      </c>
      <c r="I23" s="71">
        <f>E23*H23</f>
        <v/>
      </c>
      <c r="J23" s="70" t="inlineStr">
        <is>
          <t>S.S.B. S000645</t>
        </is>
      </c>
    </row>
    <row r="24" ht="15" customHeight="1" s="66">
      <c r="A24" s="70" t="n">
        <v>20</v>
      </c>
      <c r="B24" s="70" t="inlineStr">
        <is>
          <t>Betadine Scrub 50ml</t>
        </is>
      </c>
      <c r="C24" s="70" t="n"/>
      <c r="D24" s="70" t="inlineStr">
        <is>
          <t>No.</t>
        </is>
      </c>
      <c r="E24" s="70" t="n">
        <v>1</v>
      </c>
      <c r="F24" s="71" t="n">
        <v>151.33</v>
      </c>
      <c r="G24" s="71">
        <f>E24*F24</f>
        <v/>
      </c>
      <c r="H24" s="71" t="n">
        <v>85.70999999999999</v>
      </c>
      <c r="I24" s="71">
        <f>E24*H24</f>
        <v/>
      </c>
      <c r="J24" s="70" t="inlineStr">
        <is>
          <t>S.S.B. S000645</t>
        </is>
      </c>
    </row>
    <row r="25" ht="15" customHeight="1" s="66">
      <c r="A25" s="125" t="n">
        <v>21</v>
      </c>
      <c r="B25" s="125" t="inlineStr">
        <is>
          <t>Suture Ethilon 2-0 (SN3336)</t>
        </is>
      </c>
      <c r="C25" s="125" t="n"/>
      <c r="D25" s="125" t="inlineStr">
        <is>
          <t>No.</t>
        </is>
      </c>
      <c r="E25" s="125" t="n">
        <v>1</v>
      </c>
      <c r="F25" s="125" t="n">
        <v>277</v>
      </c>
      <c r="G25" s="125" t="n">
        <v>277</v>
      </c>
      <c r="H25" s="125" t="n">
        <v>49.52</v>
      </c>
      <c r="I25" s="125" t="n">
        <v>49.52</v>
      </c>
      <c r="J25" s="125" t="inlineStr">
        <is>
          <t>Filled from stock/rate card</t>
        </is>
      </c>
    </row>
    <row r="26" ht="15" customHeight="1" s="66">
      <c r="A26" s="125" t="n">
        <v>22</v>
      </c>
      <c r="B26" s="125" t="inlineStr">
        <is>
          <t>Surgical Blade No. 10</t>
        </is>
      </c>
      <c r="C26" s="125" t="n"/>
      <c r="D26" s="125" t="inlineStr">
        <is>
          <t>No.</t>
        </is>
      </c>
      <c r="E26" s="125" t="n">
        <v>1</v>
      </c>
      <c r="F26" s="125" t="n">
        <v>750</v>
      </c>
      <c r="G26" s="125" t="n">
        <v>750</v>
      </c>
      <c r="H26" s="125" t="inlineStr">
        <is>
          <t>⚠</t>
        </is>
      </c>
      <c r="I26" s="125" t="inlineStr">
        <is>
          <t>⚠</t>
        </is>
      </c>
      <c r="J26" s="125" t="inlineStr">
        <is>
          <t>MRP filled; cost ⚠</t>
        </is>
      </c>
    </row>
    <row r="27" ht="15" customHeight="1" s="66">
      <c r="A27" s="70" t="n">
        <v>23</v>
      </c>
      <c r="B27" s="70" t="inlineStr">
        <is>
          <t>IV Cannula 22G</t>
        </is>
      </c>
      <c r="C27" s="70" t="n"/>
      <c r="D27" s="70" t="inlineStr">
        <is>
          <t>No.</t>
        </is>
      </c>
      <c r="E27" s="70" t="n">
        <v>1</v>
      </c>
      <c r="F27" s="71" t="n">
        <v>321</v>
      </c>
      <c r="G27" s="71">
        <f>E27*F27</f>
        <v/>
      </c>
      <c r="H27" s="71" t="n">
        <v>55</v>
      </c>
      <c r="I27" s="71">
        <f>E27*H27</f>
        <v/>
      </c>
      <c r="J27" s="70" t="inlineStr">
        <is>
          <t>Vivekananda F/1180</t>
        </is>
      </c>
    </row>
    <row r="28" ht="15" customHeight="1" s="66">
      <c r="A28" s="70" t="n">
        <v>24</v>
      </c>
      <c r="B28" s="70" t="inlineStr">
        <is>
          <t>Easyfix</t>
        </is>
      </c>
      <c r="C28" s="70" t="n"/>
      <c r="D28" s="70" t="inlineStr">
        <is>
          <t>No.</t>
        </is>
      </c>
      <c r="E28" s="70" t="n">
        <v>1</v>
      </c>
      <c r="F28" s="71" t="n">
        <v>80.59999999999999</v>
      </c>
      <c r="G28" s="71">
        <f>E28*F28</f>
        <v/>
      </c>
      <c r="H28" s="71" t="n">
        <v>42.86</v>
      </c>
      <c r="I28" s="71">
        <f>E28*H28</f>
        <v/>
      </c>
      <c r="J28" s="70" t="inlineStr">
        <is>
          <t>S.S.B. S000293</t>
        </is>
      </c>
    </row>
    <row r="29" ht="15" customHeight="1" s="66">
      <c r="A29" s="70" t="n">
        <v>25</v>
      </c>
      <c r="B29" s="70" t="inlineStr">
        <is>
          <t>NS 500ml</t>
        </is>
      </c>
      <c r="C29" s="70" t="n"/>
      <c r="D29" s="70" t="inlineStr">
        <is>
          <t>No.</t>
        </is>
      </c>
      <c r="E29" s="70" t="n">
        <v>1</v>
      </c>
      <c r="F29" s="71" t="n">
        <v>36.6</v>
      </c>
      <c r="G29" s="71">
        <f>E29*F29</f>
        <v/>
      </c>
      <c r="H29" s="71" t="n">
        <v>17.62</v>
      </c>
      <c r="I29" s="71">
        <f>E29*H29</f>
        <v/>
      </c>
      <c r="J29" s="70" t="inlineStr">
        <is>
          <t>S.S.B. S000645</t>
        </is>
      </c>
    </row>
    <row r="30" ht="15" customHeight="1" s="66">
      <c r="A30" s="70" t="n">
        <v>26</v>
      </c>
      <c r="B30" s="70" t="inlineStr">
        <is>
          <t>Syringe 10ml</t>
        </is>
      </c>
      <c r="C30" s="70" t="n"/>
      <c r="D30" s="70" t="inlineStr">
        <is>
          <t>No.</t>
        </is>
      </c>
      <c r="E30" s="70" t="n">
        <v>1</v>
      </c>
      <c r="F30" s="71" t="n">
        <v>13.3</v>
      </c>
      <c r="G30" s="71">
        <f>E30*F30</f>
        <v/>
      </c>
      <c r="H30" s="71" t="n">
        <v>5.3</v>
      </c>
      <c r="I30" s="71">
        <f>E30*H30</f>
        <v/>
      </c>
      <c r="J30" s="70" t="inlineStr">
        <is>
          <t>M.R. MR000753</t>
        </is>
      </c>
    </row>
    <row r="31" ht="15" customHeight="1" s="66">
      <c r="A31" s="70" t="n">
        <v>27</v>
      </c>
      <c r="B31" s="70" t="inlineStr">
        <is>
          <t>Syringe 2ml</t>
        </is>
      </c>
      <c r="C31" s="70" t="n"/>
      <c r="D31" s="70" t="inlineStr">
        <is>
          <t>No.</t>
        </is>
      </c>
      <c r="E31" s="70" t="n">
        <v>1</v>
      </c>
      <c r="F31" s="71" t="n">
        <v>8.449999999999999</v>
      </c>
      <c r="G31" s="71">
        <f>E31*F31</f>
        <v/>
      </c>
      <c r="H31" s="71" t="n">
        <v>2.3</v>
      </c>
      <c r="I31" s="71">
        <f>E31*H31</f>
        <v/>
      </c>
      <c r="J31" s="70" t="inlineStr">
        <is>
          <t>M.R. MR000753</t>
        </is>
      </c>
    </row>
    <row r="32" ht="15" customHeight="1" s="66">
      <c r="A32" s="70" t="n">
        <v>28</v>
      </c>
      <c r="B32" s="70" t="inlineStr">
        <is>
          <t>Micro IV Set (Paediatric)</t>
        </is>
      </c>
      <c r="C32" s="70" t="n"/>
      <c r="D32" s="70" t="inlineStr">
        <is>
          <t>No.</t>
        </is>
      </c>
      <c r="E32" s="70" t="n">
        <v>1</v>
      </c>
      <c r="F32" s="71" t="n">
        <v>201</v>
      </c>
      <c r="G32" s="71">
        <f>E32*F32</f>
        <v/>
      </c>
      <c r="H32" s="71" t="n">
        <v>11.9</v>
      </c>
      <c r="I32" s="71">
        <f>E32*H32</f>
        <v/>
      </c>
      <c r="J32" s="70" t="inlineStr">
        <is>
          <t>S.S.B. S000400</t>
        </is>
      </c>
    </row>
    <row r="33" ht="15" customHeight="1" s="66">
      <c r="A33" s="70" t="n">
        <v>29</v>
      </c>
      <c r="B33" s="70" t="inlineStr">
        <is>
          <t>Inj. Pan 40 IV ×3</t>
        </is>
      </c>
      <c r="C33" s="70" t="n"/>
      <c r="D33" s="70" t="inlineStr">
        <is>
          <t>No.</t>
        </is>
      </c>
      <c r="E33" s="70" t="n">
        <v>3</v>
      </c>
      <c r="F33" s="71" t="n">
        <v>54.24</v>
      </c>
      <c r="G33" s="71">
        <f>E33*F33</f>
        <v/>
      </c>
      <c r="H33" s="71" t="n">
        <v>18</v>
      </c>
      <c r="I33" s="71">
        <f>E33*H33</f>
        <v/>
      </c>
      <c r="J33" s="70" t="inlineStr">
        <is>
          <t>M.R. MR000604</t>
        </is>
      </c>
    </row>
    <row r="34" ht="15" customHeight="1" s="66">
      <c r="A34" s="129" t="n">
        <v>30</v>
      </c>
      <c r="B34" s="129" t="inlineStr">
        <is>
          <t>Inj. Zofer (Ondansetron) ×3</t>
        </is>
      </c>
      <c r="C34" s="129" t="n"/>
      <c r="D34" s="129" t="inlineStr">
        <is>
          <t>No.</t>
        </is>
      </c>
      <c r="E34" s="129" t="n">
        <v>3</v>
      </c>
      <c r="F34" s="130" t="n">
        <v>146.25</v>
      </c>
      <c r="G34" s="130">
        <f>E34*F34</f>
        <v/>
      </c>
      <c r="H34" s="130" t="n">
        <v>109.52</v>
      </c>
      <c r="I34" s="130">
        <f>E34*H34</f>
        <v/>
      </c>
      <c r="J34" s="129" t="inlineStr">
        <is>
          <t>⚠ MRP OUTLIER — verify batch; S.S.B. S000670</t>
        </is>
      </c>
    </row>
    <row r="35" ht="15" customHeight="1" s="66">
      <c r="A35" s="70" t="n">
        <v>31</v>
      </c>
      <c r="B35" s="70" t="inlineStr">
        <is>
          <t>Inj. Xone 1g (Ceftriaxone) ×4</t>
        </is>
      </c>
      <c r="C35" s="70" t="n"/>
      <c r="D35" s="70" t="inlineStr">
        <is>
          <t>No.</t>
        </is>
      </c>
      <c r="E35" s="70" t="n">
        <v>4</v>
      </c>
      <c r="F35" s="71" t="n">
        <v>66.64</v>
      </c>
      <c r="G35" s="71">
        <f>E35*F35</f>
        <v/>
      </c>
      <c r="H35" s="71" t="n">
        <v>25.71</v>
      </c>
      <c r="I35" s="71">
        <f>E35*H35</f>
        <v/>
      </c>
      <c r="J35" s="70" t="inlineStr">
        <is>
          <t>S.S.B. S000135</t>
        </is>
      </c>
    </row>
    <row r="36" ht="15" customHeight="1" s="66">
      <c r="A36" s="70" t="n">
        <v>32</v>
      </c>
      <c r="B36" s="70" t="inlineStr">
        <is>
          <t>Needle 26G</t>
        </is>
      </c>
      <c r="C36" s="70" t="n"/>
      <c r="D36" s="70" t="inlineStr">
        <is>
          <t>No.</t>
        </is>
      </c>
      <c r="E36" s="70" t="n">
        <v>1</v>
      </c>
      <c r="F36" s="71" t="n">
        <v>243.75</v>
      </c>
      <c r="G36" s="71">
        <f>E36*F36</f>
        <v/>
      </c>
      <c r="H36" s="71" t="n">
        <v>80.95</v>
      </c>
      <c r="I36" s="71">
        <f>E36*H36</f>
        <v/>
      </c>
      <c r="J36" s="70" t="inlineStr">
        <is>
          <t>S.S.B. S000092</t>
        </is>
      </c>
    </row>
    <row r="37" ht="15" customHeight="1" s="66">
      <c r="A37" s="125" t="n">
        <v>33</v>
      </c>
      <c r="B37" s="125" t="inlineStr">
        <is>
          <t>CBG Blood Glucose Test</t>
        </is>
      </c>
      <c r="C37" s="125" t="n"/>
      <c r="D37" s="125" t="inlineStr">
        <is>
          <t>No.</t>
        </is>
      </c>
      <c r="E37" s="125" t="n">
        <v>1</v>
      </c>
      <c r="F37" s="125" t="n">
        <v>785</v>
      </c>
      <c r="G37" s="125" t="n">
        <v>785</v>
      </c>
      <c r="H37" s="125" t="inlineStr">
        <is>
          <t>⚠</t>
        </is>
      </c>
      <c r="I37" s="125" t="inlineStr">
        <is>
          <t>⚠</t>
        </is>
      </c>
      <c r="J37" s="125" t="inlineStr">
        <is>
          <t>MRP filled; cost ⚠</t>
        </is>
      </c>
    </row>
    <row r="38" ht="15" customHeight="1" s="66">
      <c r="A38" s="125" t="n">
        <v>34</v>
      </c>
      <c r="B38" s="125" t="inlineStr">
        <is>
          <t>Inj. Meropenem 1g (Pem)</t>
        </is>
      </c>
      <c r="C38" s="125" t="n"/>
      <c r="D38" s="125" t="inlineStr">
        <is>
          <t>No.</t>
        </is>
      </c>
      <c r="E38" s="125" t="n">
        <v>1</v>
      </c>
      <c r="F38" s="125" t="n">
        <v>1085</v>
      </c>
      <c r="G38" s="125" t="n">
        <v>1085</v>
      </c>
      <c r="H38" s="125" t="inlineStr">
        <is>
          <t>⚠</t>
        </is>
      </c>
      <c r="I38" s="125" t="inlineStr">
        <is>
          <t>⚠</t>
        </is>
      </c>
      <c r="J38" s="125" t="inlineStr">
        <is>
          <t>MRP filled; cost ⚠</t>
        </is>
      </c>
    </row>
    <row r="39" ht="15" customHeight="1" s="66">
      <c r="A39" s="70" t="n">
        <v>35</v>
      </c>
      <c r="B39" s="70" t="inlineStr">
        <is>
          <t>IVF RL 500ml</t>
        </is>
      </c>
      <c r="C39" s="70" t="n"/>
      <c r="D39" s="70" t="inlineStr">
        <is>
          <t>No.</t>
        </is>
      </c>
      <c r="E39" s="70" t="n">
        <v>1</v>
      </c>
      <c r="F39" s="71" t="n">
        <v>59.31</v>
      </c>
      <c r="G39" s="71">
        <f>E39*F39</f>
        <v/>
      </c>
      <c r="H39" s="71" t="n">
        <v>18.57</v>
      </c>
      <c r="I39" s="71">
        <f>E39*H39</f>
        <v/>
      </c>
      <c r="J39" s="70" t="inlineStr">
        <is>
          <t>S.S.B. S000645</t>
        </is>
      </c>
    </row>
    <row r="40" ht="15" customHeight="1" s="66">
      <c r="A40" s="70" t="n">
        <v>36</v>
      </c>
      <c r="B40" s="70" t="inlineStr">
        <is>
          <t>NS 100ml</t>
        </is>
      </c>
      <c r="C40" s="70" t="n"/>
      <c r="D40" s="70" t="inlineStr">
        <is>
          <t>No.</t>
        </is>
      </c>
      <c r="E40" s="70" t="n">
        <v>1</v>
      </c>
      <c r="F40" s="71" t="n">
        <v>21</v>
      </c>
      <c r="G40" s="71">
        <f>E40*F40</f>
        <v/>
      </c>
      <c r="H40" s="71" t="n">
        <v>11.43</v>
      </c>
      <c r="I40" s="71">
        <f>E40*H40</f>
        <v/>
      </c>
      <c r="J40" s="70" t="inlineStr">
        <is>
          <t>S.S.B. S000645</t>
        </is>
      </c>
    </row>
    <row r="41" ht="15" customHeight="1" s="66">
      <c r="A41" s="126" t="inlineStr">
        <is>
          <t xml:space="preserve">  Subtotal — Consumables / Medicines</t>
        </is>
      </c>
      <c r="G41" s="127">
        <f>SUM(G5:G40)</f>
        <v/>
      </c>
      <c r="H41" s="128" t="n"/>
      <c r="I41" s="127">
        <f>SUM(I5:I40)</f>
        <v/>
      </c>
      <c r="J41" s="128" t="n"/>
    </row>
    <row r="43" ht="15" customHeight="1" s="66">
      <c r="A43" s="124" t="inlineStr">
        <is>
          <t xml:space="preserve">  SECTION B — ROOM / BED CHARGES</t>
        </is>
      </c>
    </row>
    <row r="44" ht="15" customHeight="1" s="66">
      <c r="A44" s="70" t="n">
        <v>1</v>
      </c>
      <c r="B44" s="70" t="inlineStr">
        <is>
          <t>Bed / Room Charges</t>
        </is>
      </c>
      <c r="C44" s="70" t="inlineStr">
        <is>
          <t>Ward</t>
        </is>
      </c>
      <c r="D44" s="70" t="inlineStr">
        <is>
          <t>Day</t>
        </is>
      </c>
      <c r="E44" s="70" t="n">
        <v>1</v>
      </c>
      <c r="F44" s="71" t="n">
        <v>1000</v>
      </c>
      <c r="G44" s="71">
        <f>E44*F44</f>
        <v/>
      </c>
      <c r="H44" s="70" t="inlineStr">
        <is>
          <t>—</t>
        </is>
      </c>
      <c r="I44" s="70" t="inlineStr">
        <is>
          <t>—</t>
        </is>
      </c>
      <c r="J44" s="70" t="inlineStr">
        <is>
          <t>Per sheet</t>
        </is>
      </c>
    </row>
    <row r="46" ht="15" customHeight="1" s="66">
      <c r="A46" s="124" t="inlineStr">
        <is>
          <t xml:space="preserve">  SECTION C — OT / PROCEDURE CHARGES</t>
        </is>
      </c>
    </row>
    <row r="47" ht="15" customHeight="1" s="66">
      <c r="A47" s="70" t="n">
        <v>1</v>
      </c>
      <c r="B47" s="70" t="inlineStr">
        <is>
          <t>OT / Procedure Charges</t>
        </is>
      </c>
      <c r="C47" s="70" t="inlineStr">
        <is>
          <t>Per procedure</t>
        </is>
      </c>
      <c r="D47" s="70" t="inlineStr">
        <is>
          <t>—</t>
        </is>
      </c>
      <c r="E47" s="70" t="n">
        <v>1</v>
      </c>
      <c r="F47" s="71" t="n">
        <v>1500</v>
      </c>
      <c r="G47" s="71">
        <f>E47*F47</f>
        <v/>
      </c>
      <c r="H47" s="70" t="inlineStr">
        <is>
          <t>—</t>
        </is>
      </c>
      <c r="I47" s="70" t="inlineStr">
        <is>
          <t>—</t>
        </is>
      </c>
      <c r="J47" s="70" t="inlineStr">
        <is>
          <t>Per sheet</t>
        </is>
      </c>
    </row>
    <row r="49" ht="15" customHeight="1" s="66">
      <c r="A49" s="72" t="inlineStr">
        <is>
          <t>GRAND TOTAL PATIENT BILL</t>
        </is>
      </c>
      <c r="G49" s="73">
        <f>G41+SUM(G44:G44)+SUM(G47:G47)</f>
        <v/>
      </c>
      <c r="H49" s="73">
        <f>I41</f>
        <v/>
      </c>
      <c r="I49" s="73">
        <f>G49-H49</f>
        <v/>
      </c>
      <c r="J49" s="72" t="inlineStr">
        <is>
          <t>Bill | Cost | Margin</t>
        </is>
      </c>
    </row>
  </sheetData>
  <mergeCells count="6">
    <mergeCell ref="A41:F41"/>
    <mergeCell ref="A1:J1"/>
    <mergeCell ref="A46:J46"/>
    <mergeCell ref="A49:F49"/>
    <mergeCell ref="A3:J3"/>
    <mergeCell ref="A43:J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J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Rupali Khatun</t>
        </is>
      </c>
      <c r="E2" s="123" t="inlineStr">
        <is>
          <t>Doctor: Dr. K. Digga</t>
        </is>
      </c>
      <c r="G2" s="123" t="inlineStr">
        <is>
          <t>Date: 02/07/2026</t>
        </is>
      </c>
      <c r="I2" s="123" t="inlineStr">
        <is>
          <t>Proc: Spinal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70" t="n">
        <v>1</v>
      </c>
      <c r="B5" s="70" t="inlineStr">
        <is>
          <t>Spinal Needle 25G (Spinocaine)</t>
        </is>
      </c>
      <c r="C5" s="70" t="n"/>
      <c r="D5" s="70" t="inlineStr">
        <is>
          <t>No.</t>
        </is>
      </c>
      <c r="E5" s="70" t="n">
        <v>1</v>
      </c>
      <c r="F5" s="71" t="n">
        <v>153</v>
      </c>
      <c r="G5" s="71">
        <f>E5*F5</f>
        <v/>
      </c>
      <c r="H5" s="71" t="n">
        <v>74.29000000000001</v>
      </c>
      <c r="I5" s="71">
        <f>E5*H5</f>
        <v/>
      </c>
      <c r="J5" s="70" t="inlineStr">
        <is>
          <t>S.S.B. S000092</t>
        </is>
      </c>
    </row>
    <row r="6" ht="15" customHeight="1" s="66">
      <c r="A6" s="70" t="n">
        <v>2</v>
      </c>
      <c r="B6" s="70" t="inlineStr">
        <is>
          <t>Syringe 2cc</t>
        </is>
      </c>
      <c r="C6" s="70" t="n"/>
      <c r="D6" s="70" t="inlineStr">
        <is>
          <t>No.</t>
        </is>
      </c>
      <c r="E6" s="70" t="n">
        <v>1</v>
      </c>
      <c r="F6" s="71" t="n">
        <v>8.449999999999999</v>
      </c>
      <c r="G6" s="71">
        <f>E6*F6</f>
        <v/>
      </c>
      <c r="H6" s="71" t="n">
        <v>2.3</v>
      </c>
      <c r="I6" s="71">
        <f>E6*H6</f>
        <v/>
      </c>
      <c r="J6" s="70" t="inlineStr">
        <is>
          <t>M.R. MR000753</t>
        </is>
      </c>
    </row>
    <row r="7" ht="15" customHeight="1" s="66">
      <c r="A7" s="70" t="n">
        <v>3</v>
      </c>
      <c r="B7" s="70" t="inlineStr">
        <is>
          <t>Syringe 5cc</t>
        </is>
      </c>
      <c r="C7" s="70" t="n"/>
      <c r="D7" s="70" t="inlineStr">
        <is>
          <t>No.</t>
        </is>
      </c>
      <c r="E7" s="70" t="n">
        <v>1</v>
      </c>
      <c r="F7" s="71" t="n">
        <v>10.23</v>
      </c>
      <c r="G7" s="71">
        <f>E7*F7</f>
        <v/>
      </c>
      <c r="H7" s="71" t="n">
        <v>3.5</v>
      </c>
      <c r="I7" s="71">
        <f>E7*H7</f>
        <v/>
      </c>
      <c r="J7" s="70" t="inlineStr">
        <is>
          <t>M.R. MR000539</t>
        </is>
      </c>
    </row>
    <row r="8" ht="15" customHeight="1" s="66">
      <c r="A8" s="70" t="n">
        <v>4</v>
      </c>
      <c r="B8" s="70" t="inlineStr">
        <is>
          <t>Syringe 10cc</t>
        </is>
      </c>
      <c r="C8" s="70" t="n"/>
      <c r="D8" s="70" t="inlineStr">
        <is>
          <t>No.</t>
        </is>
      </c>
      <c r="E8" s="70" t="n">
        <v>1</v>
      </c>
      <c r="F8" s="71" t="n">
        <v>13.3</v>
      </c>
      <c r="G8" s="71">
        <f>E8*F8</f>
        <v/>
      </c>
      <c r="H8" s="71" t="n">
        <v>5.3</v>
      </c>
      <c r="I8" s="71">
        <f>E8*H8</f>
        <v/>
      </c>
      <c r="J8" s="70" t="inlineStr">
        <is>
          <t>M.R. MR000753</t>
        </is>
      </c>
    </row>
    <row r="9" ht="15" customHeight="1" s="66">
      <c r="A9" s="70" t="n">
        <v>5</v>
      </c>
      <c r="B9" s="70" t="inlineStr">
        <is>
          <t>Distilled Water 10ml ×2</t>
        </is>
      </c>
      <c r="C9" s="70" t="n"/>
      <c r="D9" s="70" t="inlineStr">
        <is>
          <t>No.</t>
        </is>
      </c>
      <c r="E9" s="70" t="n">
        <v>2</v>
      </c>
      <c r="F9" s="71" t="n">
        <v>3.24</v>
      </c>
      <c r="G9" s="71">
        <f>E9*F9</f>
        <v/>
      </c>
      <c r="H9" s="71" t="n">
        <v>2.51</v>
      </c>
      <c r="I9" s="71">
        <f>E9*H9</f>
        <v/>
      </c>
      <c r="J9" s="70" t="inlineStr">
        <is>
          <t>Vivekananda F/747</t>
        </is>
      </c>
    </row>
    <row r="10" ht="15" customHeight="1" s="66">
      <c r="A10" s="70" t="n">
        <v>6</v>
      </c>
      <c r="B10" s="70" t="inlineStr">
        <is>
          <t>OT Mop / Abd. Swab ×2</t>
        </is>
      </c>
      <c r="C10" s="70" t="n"/>
      <c r="D10" s="70" t="inlineStr">
        <is>
          <t>No.</t>
        </is>
      </c>
      <c r="E10" s="70" t="n">
        <v>2</v>
      </c>
      <c r="F10" s="71" t="n">
        <v>95</v>
      </c>
      <c r="G10" s="71">
        <f>E10*F10</f>
        <v/>
      </c>
      <c r="H10" s="71" t="n">
        <v>40.15</v>
      </c>
      <c r="I10" s="71">
        <f>E10*H10</f>
        <v/>
      </c>
      <c r="J10" s="70" t="inlineStr">
        <is>
          <t>B.P. 349</t>
        </is>
      </c>
    </row>
    <row r="11" ht="15" customHeight="1" s="66">
      <c r="A11" s="70" t="n">
        <v>7</v>
      </c>
      <c r="B11" s="70" t="inlineStr">
        <is>
          <t>Inj. Anawin Heavy 4ml ×2</t>
        </is>
      </c>
      <c r="C11" s="70" t="n"/>
      <c r="D11" s="70" t="inlineStr">
        <is>
          <t>No.</t>
        </is>
      </c>
      <c r="E11" s="70" t="n">
        <v>1</v>
      </c>
      <c r="F11" s="71" t="n">
        <v>31.47</v>
      </c>
      <c r="G11" s="71">
        <f>E11*F11</f>
        <v/>
      </c>
      <c r="H11" s="71" t="n">
        <v>24.76</v>
      </c>
      <c r="I11" s="71">
        <f>E11*H11</f>
        <v/>
      </c>
      <c r="J11" s="70" t="inlineStr">
        <is>
          <t>S.S.B. S000092</t>
        </is>
      </c>
    </row>
    <row r="12" ht="15" customHeight="1" s="66">
      <c r="A12" s="70" t="n">
        <v>8</v>
      </c>
      <c r="B12" s="70" t="inlineStr">
        <is>
          <t>Gloves 7.0 ×7</t>
        </is>
      </c>
      <c r="C12" s="70" t="n"/>
      <c r="D12" s="70" t="inlineStr">
        <is>
          <t>No.</t>
        </is>
      </c>
      <c r="E12" s="70" t="n">
        <v>7</v>
      </c>
      <c r="F12" s="71" t="n">
        <v>91</v>
      </c>
      <c r="G12" s="71">
        <f>E12*F12</f>
        <v/>
      </c>
      <c r="H12" s="71" t="n">
        <v>19.06</v>
      </c>
      <c r="I12" s="71">
        <f>E12*H12</f>
        <v/>
      </c>
      <c r="J12" s="70" t="inlineStr">
        <is>
          <t>Vivekananda F/747</t>
        </is>
      </c>
    </row>
    <row r="13" ht="15" customHeight="1" s="66">
      <c r="A13" s="70" t="n">
        <v>9</v>
      </c>
      <c r="B13" s="70" t="inlineStr">
        <is>
          <t>Gloves 6.5 ×2</t>
        </is>
      </c>
      <c r="C13" s="70" t="n"/>
      <c r="D13" s="70" t="inlineStr">
        <is>
          <t>No.</t>
        </is>
      </c>
      <c r="E13" s="70" t="n">
        <v>1</v>
      </c>
      <c r="F13" s="71" t="n">
        <v>91</v>
      </c>
      <c r="G13" s="71">
        <f>E13*F13</f>
        <v/>
      </c>
      <c r="H13" s="71" t="n">
        <v>19.06</v>
      </c>
      <c r="I13" s="71">
        <f>E13*H13</f>
        <v/>
      </c>
      <c r="J13" s="70" t="inlineStr">
        <is>
          <t>Vivekananda F/747</t>
        </is>
      </c>
    </row>
    <row r="14" ht="15" customHeight="1" s="66">
      <c r="A14" s="125" t="n">
        <v>10</v>
      </c>
      <c r="B14" s="125" t="inlineStr">
        <is>
          <t>Suture Ethilon 2-0 (SN3336) ×2</t>
        </is>
      </c>
      <c r="C14" s="125" t="n"/>
      <c r="D14" s="125" t="inlineStr">
        <is>
          <t>No.</t>
        </is>
      </c>
      <c r="E14" s="125" t="n">
        <v>2</v>
      </c>
      <c r="F14" s="125" t="n">
        <v>277</v>
      </c>
      <c r="G14" s="125" t="n">
        <v>554</v>
      </c>
      <c r="H14" s="125" t="n">
        <v>49.52</v>
      </c>
      <c r="I14" s="125" t="n">
        <v>99.04000000000001</v>
      </c>
      <c r="J14" s="125" t="inlineStr">
        <is>
          <t>Filled from stock/rate card</t>
        </is>
      </c>
    </row>
    <row r="15" ht="15" customHeight="1" s="66">
      <c r="A15" s="125" t="n">
        <v>11</v>
      </c>
      <c r="B15" s="125" t="inlineStr">
        <is>
          <t>Vicryl No 1 2421</t>
        </is>
      </c>
      <c r="C15" s="125" t="n"/>
      <c r="D15" s="125" t="inlineStr">
        <is>
          <t>No.</t>
        </is>
      </c>
      <c r="E15" s="125" t="n">
        <v>1</v>
      </c>
      <c r="F15" s="125" t="n">
        <v>250</v>
      </c>
      <c r="G15" s="125" t="n">
        <v>250</v>
      </c>
      <c r="H15" s="125" t="n">
        <v>100</v>
      </c>
      <c r="I15" s="125" t="n">
        <v>100</v>
      </c>
      <c r="J15" s="125" t="inlineStr">
        <is>
          <t>Filled from stock/rate card</t>
        </is>
      </c>
    </row>
    <row r="16" ht="15" customHeight="1" s="66">
      <c r="A16" s="125" t="n">
        <v>12</v>
      </c>
      <c r="B16" s="125" t="inlineStr">
        <is>
          <t>Cap + Mask ×4</t>
        </is>
      </c>
      <c r="C16" s="125" t="n"/>
      <c r="D16" s="125" t="inlineStr">
        <is>
          <t>No.</t>
        </is>
      </c>
      <c r="E16" s="125" t="n">
        <v>4</v>
      </c>
      <c r="F16" s="125" t="n">
        <v>25</v>
      </c>
      <c r="G16" s="125" t="n">
        <v>100</v>
      </c>
      <c r="H16" s="125" t="inlineStr">
        <is>
          <t>⚠</t>
        </is>
      </c>
      <c r="I16" s="125" t="inlineStr">
        <is>
          <t>⚠</t>
        </is>
      </c>
      <c r="J16" s="125" t="inlineStr">
        <is>
          <t>MRP filled; cost ⚠</t>
        </is>
      </c>
    </row>
    <row r="17" ht="15" customHeight="1" s="66">
      <c r="A17" s="70" t="n">
        <v>13</v>
      </c>
      <c r="B17" s="70" t="inlineStr">
        <is>
          <t>Dynafix</t>
        </is>
      </c>
      <c r="C17" s="70" t="n"/>
      <c r="D17" s="70" t="inlineStr">
        <is>
          <t>No.</t>
        </is>
      </c>
      <c r="E17" s="70" t="n">
        <v>1</v>
      </c>
      <c r="F17" s="71" t="n">
        <v>1392</v>
      </c>
      <c r="G17" s="71">
        <f>E17*F17</f>
        <v/>
      </c>
      <c r="H17" s="71" t="n">
        <v>232.5</v>
      </c>
      <c r="I17" s="71">
        <f>E17*H17</f>
        <v/>
      </c>
      <c r="J17" s="70" t="inlineStr">
        <is>
          <t>B.P. 340</t>
        </is>
      </c>
    </row>
    <row r="18" ht="15" customHeight="1" s="66">
      <c r="A18" s="70" t="n">
        <v>14</v>
      </c>
      <c r="B18" s="70" t="inlineStr">
        <is>
          <t>NS 500ml ×3</t>
        </is>
      </c>
      <c r="C18" s="70" t="n"/>
      <c r="D18" s="70" t="inlineStr">
        <is>
          <t>No.</t>
        </is>
      </c>
      <c r="E18" s="70" t="n">
        <v>1</v>
      </c>
      <c r="F18" s="71" t="n">
        <v>36.6</v>
      </c>
      <c r="G18" s="71">
        <f>E18*F18</f>
        <v/>
      </c>
      <c r="H18" s="71" t="n">
        <v>17.62</v>
      </c>
      <c r="I18" s="71">
        <f>E18*H18</f>
        <v/>
      </c>
      <c r="J18" s="70" t="inlineStr">
        <is>
          <t>S.S.B. S000645</t>
        </is>
      </c>
    </row>
    <row r="19" ht="15" customHeight="1" s="66">
      <c r="A19" s="70" t="n">
        <v>15</v>
      </c>
      <c r="B19" s="70" t="inlineStr">
        <is>
          <t>NS 1000ml ×2</t>
        </is>
      </c>
      <c r="C19" s="70" t="n"/>
      <c r="D19" s="70" t="inlineStr">
        <is>
          <t>No.</t>
        </is>
      </c>
      <c r="E19" s="70" t="n">
        <v>2</v>
      </c>
      <c r="F19" s="71" t="n">
        <v>61.17</v>
      </c>
      <c r="G19" s="71">
        <f>E19*F19</f>
        <v/>
      </c>
      <c r="H19" s="71" t="n">
        <v>30.48</v>
      </c>
      <c r="I19" s="71">
        <f>E19*H19</f>
        <v/>
      </c>
      <c r="J19" s="70" t="inlineStr">
        <is>
          <t>S.S.B. S000645</t>
        </is>
      </c>
    </row>
    <row r="20" ht="15" customHeight="1" s="66">
      <c r="A20" s="70" t="n">
        <v>16</v>
      </c>
      <c r="B20" s="70" t="inlineStr">
        <is>
          <t>Plain Sheet</t>
        </is>
      </c>
      <c r="C20" s="70" t="n"/>
      <c r="D20" s="70" t="inlineStr">
        <is>
          <t>No.</t>
        </is>
      </c>
      <c r="E20" s="70" t="n">
        <v>1</v>
      </c>
      <c r="F20" s="71" t="n">
        <v>119.5</v>
      </c>
      <c r="G20" s="71">
        <f>E20*F20</f>
        <v/>
      </c>
      <c r="H20" s="71" t="n">
        <v>57.96</v>
      </c>
      <c r="I20" s="71">
        <f>E20*H20</f>
        <v/>
      </c>
      <c r="J20" s="70" t="inlineStr">
        <is>
          <t>M.R. MR000352</t>
        </is>
      </c>
    </row>
    <row r="21" ht="15" customHeight="1" s="66">
      <c r="A21" s="70" t="n">
        <v>17</v>
      </c>
      <c r="B21" s="70" t="inlineStr">
        <is>
          <t>Betadine Lotion 100ml ×2</t>
        </is>
      </c>
      <c r="C21" s="70" t="n"/>
      <c r="D21" s="70" t="inlineStr">
        <is>
          <t>No.</t>
        </is>
      </c>
      <c r="E21" s="70" t="n">
        <v>2</v>
      </c>
      <c r="F21" s="71" t="n">
        <v>151.33</v>
      </c>
      <c r="G21" s="71">
        <f>E21*F21</f>
        <v/>
      </c>
      <c r="H21" s="71" t="n">
        <v>85.70999999999999</v>
      </c>
      <c r="I21" s="71">
        <f>E21*H21</f>
        <v/>
      </c>
      <c r="J21" s="70" t="inlineStr">
        <is>
          <t>S.S.B. S000645</t>
        </is>
      </c>
    </row>
    <row r="22" ht="15" customHeight="1" s="66">
      <c r="A22" s="70" t="n">
        <v>18</v>
      </c>
      <c r="B22" s="70" t="inlineStr">
        <is>
          <t>Betadine Scrub 100ml</t>
        </is>
      </c>
      <c r="C22" s="70" t="n"/>
      <c r="D22" s="70" t="inlineStr">
        <is>
          <t>No.</t>
        </is>
      </c>
      <c r="E22" s="70" t="n">
        <v>1</v>
      </c>
      <c r="F22" s="71" t="n">
        <v>151.33</v>
      </c>
      <c r="G22" s="71">
        <f>E22*F22</f>
        <v/>
      </c>
      <c r="H22" s="71" t="n">
        <v>85.70999999999999</v>
      </c>
      <c r="I22" s="71">
        <f>E22*H22</f>
        <v/>
      </c>
      <c r="J22" s="70" t="inlineStr">
        <is>
          <t>S.S.B. S000645</t>
        </is>
      </c>
    </row>
    <row r="23" ht="15" customHeight="1" s="66">
      <c r="A23" s="125" t="n">
        <v>19</v>
      </c>
      <c r="B23" s="125" t="inlineStr">
        <is>
          <t>Surgical Blade 24 No.</t>
        </is>
      </c>
      <c r="C23" s="125" t="n"/>
      <c r="D23" s="125" t="inlineStr">
        <is>
          <t>No.</t>
        </is>
      </c>
      <c r="E23" s="125" t="n">
        <v>1</v>
      </c>
      <c r="F23" s="125" t="n">
        <v>750</v>
      </c>
      <c r="G23" s="125" t="n">
        <v>750</v>
      </c>
      <c r="H23" s="125" t="inlineStr">
        <is>
          <t>⚠</t>
        </is>
      </c>
      <c r="I23" s="125" t="inlineStr">
        <is>
          <t>⚠</t>
        </is>
      </c>
      <c r="J23" s="125" t="inlineStr">
        <is>
          <t>MRP filled; cost ⚠</t>
        </is>
      </c>
    </row>
    <row r="24" ht="15" customHeight="1" s="66">
      <c r="A24" s="70" t="n">
        <v>20</v>
      </c>
      <c r="B24" s="70" t="inlineStr">
        <is>
          <t>Inj. Pan 40 IV ×2</t>
        </is>
      </c>
      <c r="C24" s="70" t="n"/>
      <c r="D24" s="70" t="inlineStr">
        <is>
          <t>No.</t>
        </is>
      </c>
      <c r="E24" s="70" t="n">
        <v>2</v>
      </c>
      <c r="F24" s="71" t="n">
        <v>54.24</v>
      </c>
      <c r="G24" s="71">
        <f>E24*F24</f>
        <v/>
      </c>
      <c r="H24" s="71" t="n">
        <v>18</v>
      </c>
      <c r="I24" s="71">
        <f>E24*H24</f>
        <v/>
      </c>
      <c r="J24" s="70" t="inlineStr">
        <is>
          <t>M.R. MR000604</t>
        </is>
      </c>
    </row>
    <row r="25" ht="15" customHeight="1" s="66">
      <c r="A25" s="129" t="n">
        <v>21</v>
      </c>
      <c r="B25" s="129" t="inlineStr">
        <is>
          <t>Inj. Zofer (Ondansetron) ×4</t>
        </is>
      </c>
      <c r="C25" s="129" t="n"/>
      <c r="D25" s="129" t="inlineStr">
        <is>
          <t>No.</t>
        </is>
      </c>
      <c r="E25" s="129" t="n">
        <v>4</v>
      </c>
      <c r="F25" s="130" t="n">
        <v>146.25</v>
      </c>
      <c r="G25" s="130">
        <f>E25*F25</f>
        <v/>
      </c>
      <c r="H25" s="130" t="n">
        <v>109.52</v>
      </c>
      <c r="I25" s="130">
        <f>E25*H25</f>
        <v/>
      </c>
      <c r="J25" s="129" t="inlineStr">
        <is>
          <t>⚠ MRP OUTLIER — verify batch; S.S.B. S000670</t>
        </is>
      </c>
    </row>
    <row r="26" ht="15" customHeight="1" s="66">
      <c r="A26" s="70" t="n">
        <v>22</v>
      </c>
      <c r="B26" s="70" t="inlineStr">
        <is>
          <t>Inj. Xone 1g (Ceftriaxone) ×2</t>
        </is>
      </c>
      <c r="C26" s="70" t="n"/>
      <c r="D26" s="70" t="inlineStr">
        <is>
          <t>No.</t>
        </is>
      </c>
      <c r="E26" s="70" t="n">
        <v>2</v>
      </c>
      <c r="F26" s="71" t="n">
        <v>66.64</v>
      </c>
      <c r="G26" s="71">
        <f>E26*F26</f>
        <v/>
      </c>
      <c r="H26" s="71" t="n">
        <v>25.71</v>
      </c>
      <c r="I26" s="71">
        <f>E26*H26</f>
        <v/>
      </c>
      <c r="J26" s="70" t="inlineStr">
        <is>
          <t>S.S.B. S000135</t>
        </is>
      </c>
    </row>
    <row r="27" ht="15" customHeight="1" s="66">
      <c r="A27" s="125" t="n">
        <v>23</v>
      </c>
      <c r="B27" s="125" t="inlineStr">
        <is>
          <t>Inj. Pen (unconfirmed drug) ×3</t>
        </is>
      </c>
      <c r="C27" s="125" t="n"/>
      <c r="D27" s="125" t="inlineStr">
        <is>
          <t>No.</t>
        </is>
      </c>
      <c r="E27" s="125" t="n">
        <v>3</v>
      </c>
      <c r="F27" s="125" t="n">
        <v>15.9</v>
      </c>
      <c r="G27" s="125" t="n">
        <v>47.7</v>
      </c>
      <c r="H27" s="125" t="n">
        <v>11.71</v>
      </c>
      <c r="I27" s="125" t="n">
        <v>35.13</v>
      </c>
      <c r="J27" s="125" t="inlineStr">
        <is>
          <t>Filled from stock/rate card</t>
        </is>
      </c>
    </row>
    <row r="28" ht="15" customHeight="1" s="66">
      <c r="A28" s="70" t="n">
        <v>24</v>
      </c>
      <c r="B28" s="70" t="inlineStr">
        <is>
          <t>IV Set (Sangoflex)</t>
        </is>
      </c>
      <c r="C28" s="70" t="n"/>
      <c r="D28" s="70" t="inlineStr">
        <is>
          <t>No.</t>
        </is>
      </c>
      <c r="E28" s="70" t="n">
        <v>1</v>
      </c>
      <c r="F28" s="71" t="n">
        <v>201</v>
      </c>
      <c r="G28" s="71">
        <f>E28*F28</f>
        <v/>
      </c>
      <c r="H28" s="71" t="n">
        <v>11.9</v>
      </c>
      <c r="I28" s="71">
        <f>E28*H28</f>
        <v/>
      </c>
      <c r="J28" s="70" t="inlineStr">
        <is>
          <t>S.S.B. S000400</t>
        </is>
      </c>
    </row>
    <row r="29" ht="15" customHeight="1" s="66">
      <c r="A29" s="70" t="n">
        <v>25</v>
      </c>
      <c r="B29" s="70" t="inlineStr">
        <is>
          <t>IV Cannula 20G</t>
        </is>
      </c>
      <c r="C29" s="70" t="n"/>
      <c r="D29" s="70" t="inlineStr">
        <is>
          <t>No.</t>
        </is>
      </c>
      <c r="E29" s="70" t="n">
        <v>1</v>
      </c>
      <c r="F29" s="71" t="n">
        <v>198</v>
      </c>
      <c r="G29" s="71">
        <f>E29*F29</f>
        <v/>
      </c>
      <c r="H29" s="71" t="n">
        <v>7.14</v>
      </c>
      <c r="I29" s="71">
        <f>E29*H29</f>
        <v/>
      </c>
      <c r="J29" s="70" t="inlineStr">
        <is>
          <t>S.S.B. S000399</t>
        </is>
      </c>
    </row>
    <row r="30" ht="15" customHeight="1" s="66">
      <c r="A30" s="70" t="n">
        <v>26</v>
      </c>
      <c r="B30" s="70" t="inlineStr">
        <is>
          <t>Easyfix</t>
        </is>
      </c>
      <c r="C30" s="70" t="n"/>
      <c r="D30" s="70" t="inlineStr">
        <is>
          <t>No.</t>
        </is>
      </c>
      <c r="E30" s="70" t="n">
        <v>1</v>
      </c>
      <c r="F30" s="71" t="n">
        <v>80.59999999999999</v>
      </c>
      <c r="G30" s="71">
        <f>E30*F30</f>
        <v/>
      </c>
      <c r="H30" s="71" t="n">
        <v>42.86</v>
      </c>
      <c r="I30" s="71">
        <f>E30*H30</f>
        <v/>
      </c>
      <c r="J30" s="70" t="inlineStr">
        <is>
          <t>S.S.B. S000293</t>
        </is>
      </c>
    </row>
    <row r="31" ht="15" customHeight="1" s="66">
      <c r="A31" s="70" t="n">
        <v>27</v>
      </c>
      <c r="B31" s="70" t="inlineStr">
        <is>
          <t>Syringe 10ml</t>
        </is>
      </c>
      <c r="C31" s="70" t="n"/>
      <c r="D31" s="70" t="inlineStr">
        <is>
          <t>No.</t>
        </is>
      </c>
      <c r="E31" s="70" t="n">
        <v>1</v>
      </c>
      <c r="F31" s="71" t="n">
        <v>13.3</v>
      </c>
      <c r="G31" s="71">
        <f>E31*F31</f>
        <v/>
      </c>
      <c r="H31" s="71" t="n">
        <v>5.3</v>
      </c>
      <c r="I31" s="71">
        <f>E31*H31</f>
        <v/>
      </c>
      <c r="J31" s="70" t="inlineStr">
        <is>
          <t>M.R. MR000753</t>
        </is>
      </c>
    </row>
    <row r="32" ht="15" customHeight="1" s="66">
      <c r="A32" s="70" t="n">
        <v>28</v>
      </c>
      <c r="B32" s="70" t="inlineStr">
        <is>
          <t>Syringe 5ml</t>
        </is>
      </c>
      <c r="C32" s="70" t="n"/>
      <c r="D32" s="70" t="inlineStr">
        <is>
          <t>No.</t>
        </is>
      </c>
      <c r="E32" s="70" t="n">
        <v>1</v>
      </c>
      <c r="F32" s="71" t="n">
        <v>10.23</v>
      </c>
      <c r="G32" s="71">
        <f>E32*F32</f>
        <v/>
      </c>
      <c r="H32" s="71" t="n">
        <v>3.5</v>
      </c>
      <c r="I32" s="71">
        <f>E32*H32</f>
        <v/>
      </c>
      <c r="J32" s="70" t="inlineStr">
        <is>
          <t>M.R. MR000539</t>
        </is>
      </c>
    </row>
    <row r="33" ht="15" customHeight="1" s="66">
      <c r="A33" s="70" t="n">
        <v>29</v>
      </c>
      <c r="B33" s="70" t="inlineStr">
        <is>
          <t>Syringe 2ml</t>
        </is>
      </c>
      <c r="C33" s="70" t="n"/>
      <c r="D33" s="70" t="inlineStr">
        <is>
          <t>No.</t>
        </is>
      </c>
      <c r="E33" s="70" t="n">
        <v>1</v>
      </c>
      <c r="F33" s="71" t="n">
        <v>8.449999999999999</v>
      </c>
      <c r="G33" s="71">
        <f>E33*F33</f>
        <v/>
      </c>
      <c r="H33" s="71" t="n">
        <v>2.3</v>
      </c>
      <c r="I33" s="71">
        <f>E33*H33</f>
        <v/>
      </c>
      <c r="J33" s="70" t="inlineStr">
        <is>
          <t>M.R. MR000753</t>
        </is>
      </c>
    </row>
    <row r="34" ht="15" customHeight="1" s="66">
      <c r="A34" s="70" t="n">
        <v>30</v>
      </c>
      <c r="B34" s="70" t="inlineStr">
        <is>
          <t>Needle 26G</t>
        </is>
      </c>
      <c r="C34" s="70" t="n"/>
      <c r="D34" s="70" t="inlineStr">
        <is>
          <t>No.</t>
        </is>
      </c>
      <c r="E34" s="70" t="n">
        <v>1</v>
      </c>
      <c r="F34" s="71" t="n">
        <v>243.75</v>
      </c>
      <c r="G34" s="71">
        <f>E34*F34</f>
        <v/>
      </c>
      <c r="H34" s="71" t="n">
        <v>80.95</v>
      </c>
      <c r="I34" s="71">
        <f>E34*H34</f>
        <v/>
      </c>
      <c r="J34" s="70" t="inlineStr">
        <is>
          <t>S.S.B. S000092</t>
        </is>
      </c>
    </row>
    <row r="35" ht="15" customHeight="1" s="66">
      <c r="A35" s="70" t="n">
        <v>31</v>
      </c>
      <c r="B35" s="70" t="inlineStr">
        <is>
          <t>IVF RL 500ml</t>
        </is>
      </c>
      <c r="C35" s="70" t="n"/>
      <c r="D35" s="70" t="inlineStr">
        <is>
          <t>No.</t>
        </is>
      </c>
      <c r="E35" s="70" t="n">
        <v>1</v>
      </c>
      <c r="F35" s="71" t="n">
        <v>59.31</v>
      </c>
      <c r="G35" s="71">
        <f>E35*F35</f>
        <v/>
      </c>
      <c r="H35" s="71" t="n">
        <v>18.57</v>
      </c>
      <c r="I35" s="71">
        <f>E35*H35</f>
        <v/>
      </c>
      <c r="J35" s="70" t="inlineStr">
        <is>
          <t>S.S.B. S000645</t>
        </is>
      </c>
    </row>
    <row r="36" ht="15" customHeight="1" s="66">
      <c r="A36" s="70" t="n">
        <v>32</v>
      </c>
      <c r="B36" s="70" t="inlineStr">
        <is>
          <t>NS 100ml ×2</t>
        </is>
      </c>
      <c r="C36" s="70" t="n"/>
      <c r="D36" s="70" t="inlineStr">
        <is>
          <t>No.</t>
        </is>
      </c>
      <c r="E36" s="70" t="n">
        <v>2</v>
      </c>
      <c r="F36" s="71" t="n">
        <v>21</v>
      </c>
      <c r="G36" s="71">
        <f>E36*F36</f>
        <v/>
      </c>
      <c r="H36" s="71" t="n">
        <v>11.43</v>
      </c>
      <c r="I36" s="71">
        <f>E36*H36</f>
        <v/>
      </c>
      <c r="J36" s="70" t="inlineStr">
        <is>
          <t>S.S.B. S000645</t>
        </is>
      </c>
    </row>
    <row r="37" ht="15" customHeight="1" s="66">
      <c r="A37" s="125" t="n">
        <v>33</v>
      </c>
      <c r="B37" s="125" t="inlineStr">
        <is>
          <t>Inj. Tramadol</t>
        </is>
      </c>
      <c r="C37" s="125" t="n"/>
      <c r="D37" s="125" t="inlineStr">
        <is>
          <t>No.</t>
        </is>
      </c>
      <c r="E37" s="125" t="n">
        <v>1</v>
      </c>
      <c r="F37" s="125" t="n">
        <v>12.56</v>
      </c>
      <c r="G37" s="125" t="n">
        <v>12.56</v>
      </c>
      <c r="H37" s="125" t="n">
        <v>4.76</v>
      </c>
      <c r="I37" s="125" t="n">
        <v>4.76</v>
      </c>
      <c r="J37" s="125" t="inlineStr">
        <is>
          <t>Filled from stock/rate card</t>
        </is>
      </c>
    </row>
    <row r="38" ht="15" customHeight="1" s="66">
      <c r="A38" s="125" t="n">
        <v>34</v>
      </c>
      <c r="B38" s="125" t="inlineStr">
        <is>
          <t>CBC Check</t>
        </is>
      </c>
      <c r="C38" s="125" t="n"/>
      <c r="D38" s="125" t="inlineStr">
        <is>
          <t>No.</t>
        </is>
      </c>
      <c r="E38" s="125" t="n">
        <v>1</v>
      </c>
      <c r="F38" s="125" t="n">
        <v>785</v>
      </c>
      <c r="G38" s="125" t="n">
        <v>785</v>
      </c>
      <c r="H38" s="125" t="inlineStr">
        <is>
          <t>⚠</t>
        </is>
      </c>
      <c r="I38" s="125" t="inlineStr">
        <is>
          <t>⚠</t>
        </is>
      </c>
      <c r="J38" s="125" t="inlineStr">
        <is>
          <t>Filled from stock/rate card</t>
        </is>
      </c>
    </row>
    <row r="39" ht="15" customHeight="1" s="66">
      <c r="A39" s="125" t="n">
        <v>35</v>
      </c>
      <c r="B39" s="125" t="inlineStr">
        <is>
          <t>Inj. Dynapar AQ (Diclofenac)</t>
        </is>
      </c>
      <c r="C39" s="125" t="n"/>
      <c r="D39" s="125" t="inlineStr">
        <is>
          <t>No.</t>
        </is>
      </c>
      <c r="E39" s="125" t="n">
        <v>1</v>
      </c>
      <c r="F39" s="125" t="n">
        <v>23.8</v>
      </c>
      <c r="G39" s="125" t="n">
        <v>23.8</v>
      </c>
      <c r="H39" s="125" t="n">
        <v>8.57</v>
      </c>
      <c r="I39" s="125" t="n">
        <v>8.57</v>
      </c>
      <c r="J39" s="125" t="inlineStr">
        <is>
          <t>Filled from stock/rate card</t>
        </is>
      </c>
    </row>
    <row r="40" ht="15" customHeight="1" s="66">
      <c r="A40" s="126" t="inlineStr">
        <is>
          <t xml:space="preserve">  Subtotal — Consumables / Medicines</t>
        </is>
      </c>
      <c r="G40" s="127">
        <f>SUM(G5:G39)</f>
        <v/>
      </c>
      <c r="H40" s="128" t="n"/>
      <c r="I40" s="127">
        <f>SUM(I5:I39)</f>
        <v/>
      </c>
      <c r="J40" s="128" t="n"/>
    </row>
    <row r="42" ht="15" customHeight="1" s="66">
      <c r="A42" s="124" t="inlineStr">
        <is>
          <t xml:space="preserve">  SECTION B — ROOM / BED CHARGES</t>
        </is>
      </c>
    </row>
    <row r="43" ht="15" customHeight="1" s="66">
      <c r="A43" s="70" t="n">
        <v>1</v>
      </c>
      <c r="B43" s="70" t="inlineStr">
        <is>
          <t>Bed / Room Charges</t>
        </is>
      </c>
      <c r="C43" s="70" t="inlineStr">
        <is>
          <t>Ward</t>
        </is>
      </c>
      <c r="D43" s="70" t="inlineStr">
        <is>
          <t>Day</t>
        </is>
      </c>
      <c r="E43" s="70" t="n">
        <v>1</v>
      </c>
      <c r="F43" s="71" t="n">
        <v>1000</v>
      </c>
      <c r="G43" s="71">
        <f>E43*F43</f>
        <v/>
      </c>
      <c r="H43" s="70" t="inlineStr">
        <is>
          <t>—</t>
        </is>
      </c>
      <c r="I43" s="70" t="inlineStr">
        <is>
          <t>—</t>
        </is>
      </c>
      <c r="J43" s="70" t="inlineStr">
        <is>
          <t>Per sheet</t>
        </is>
      </c>
    </row>
    <row r="45" ht="15" customHeight="1" s="66">
      <c r="A45" s="124" t="inlineStr">
        <is>
          <t xml:space="preserve">  SECTION C — OT / PROCEDURE CHARGES</t>
        </is>
      </c>
    </row>
    <row r="46" ht="15" customHeight="1" s="66">
      <c r="A46" s="70" t="n">
        <v>1</v>
      </c>
      <c r="B46" s="70" t="inlineStr">
        <is>
          <t>OT / Procedure Charges</t>
        </is>
      </c>
      <c r="C46" s="70" t="inlineStr">
        <is>
          <t>Per procedure</t>
        </is>
      </c>
      <c r="D46" s="70" t="inlineStr">
        <is>
          <t>—</t>
        </is>
      </c>
      <c r="E46" s="70" t="n">
        <v>1</v>
      </c>
      <c r="F46" s="71" t="n">
        <v>1500</v>
      </c>
      <c r="G46" s="71">
        <f>E46*F46</f>
        <v/>
      </c>
      <c r="H46" s="70" t="inlineStr">
        <is>
          <t>—</t>
        </is>
      </c>
      <c r="I46" s="70" t="inlineStr">
        <is>
          <t>—</t>
        </is>
      </c>
      <c r="J46" s="70" t="inlineStr">
        <is>
          <t>Per sheet</t>
        </is>
      </c>
    </row>
    <row r="48" ht="15" customHeight="1" s="66">
      <c r="A48" s="72" t="inlineStr">
        <is>
          <t>GRAND TOTAL PATIENT BILL</t>
        </is>
      </c>
      <c r="G48" s="73">
        <f>G40+SUM(G43:G43)+SUM(G46:G46)</f>
        <v/>
      </c>
      <c r="H48" s="73">
        <f>I40</f>
        <v/>
      </c>
      <c r="I48" s="73">
        <f>G48-H48</f>
        <v/>
      </c>
      <c r="J48" s="72" t="inlineStr">
        <is>
          <t>Bill | Cost | Margin</t>
        </is>
      </c>
    </row>
  </sheetData>
  <mergeCells count="6">
    <mergeCell ref="A1:J1"/>
    <mergeCell ref="A45:J45"/>
    <mergeCell ref="A3:J3"/>
    <mergeCell ref="A40:F40"/>
    <mergeCell ref="A48:F48"/>
    <mergeCell ref="A42:J4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J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Raejul Islam</t>
        </is>
      </c>
      <c r="E2" s="123" t="inlineStr">
        <is>
          <t>Doctor: Dr. K. Digga</t>
        </is>
      </c>
      <c r="G2" s="123" t="inlineStr">
        <is>
          <t>Date: 02/06/2026</t>
        </is>
      </c>
      <c r="I2" s="123" t="inlineStr">
        <is>
          <t>Proc: Spinal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70" t="n">
        <v>1</v>
      </c>
      <c r="B5" s="70" t="inlineStr">
        <is>
          <t>Spinal Needle 25G (Spinocaine)</t>
        </is>
      </c>
      <c r="C5" s="70" t="n"/>
      <c r="D5" s="70" t="inlineStr">
        <is>
          <t>No.</t>
        </is>
      </c>
      <c r="E5" s="70" t="n">
        <v>1</v>
      </c>
      <c r="F5" s="71" t="n">
        <v>153</v>
      </c>
      <c r="G5" s="71">
        <f>E5*F5</f>
        <v/>
      </c>
      <c r="H5" s="71" t="n">
        <v>74.29000000000001</v>
      </c>
      <c r="I5" s="71">
        <f>E5*H5</f>
        <v/>
      </c>
      <c r="J5" s="70" t="inlineStr">
        <is>
          <t>S.S.B. S000092</t>
        </is>
      </c>
    </row>
    <row r="6" ht="15" customHeight="1" s="66">
      <c r="A6" s="70" t="n">
        <v>2</v>
      </c>
      <c r="B6" s="70" t="inlineStr">
        <is>
          <t>Syringe 5cc ×2</t>
        </is>
      </c>
      <c r="C6" s="70" t="n"/>
      <c r="D6" s="70" t="inlineStr">
        <is>
          <t>No.</t>
        </is>
      </c>
      <c r="E6" s="70" t="n">
        <v>2</v>
      </c>
      <c r="F6" s="71" t="n">
        <v>10.23</v>
      </c>
      <c r="G6" s="71">
        <f>E6*F6</f>
        <v/>
      </c>
      <c r="H6" s="71" t="n">
        <v>3.5</v>
      </c>
      <c r="I6" s="71">
        <f>E6*H6</f>
        <v/>
      </c>
      <c r="J6" s="70" t="inlineStr">
        <is>
          <t>M.R. MR000539</t>
        </is>
      </c>
    </row>
    <row r="7" ht="15" customHeight="1" s="66">
      <c r="A7" s="70" t="n">
        <v>3</v>
      </c>
      <c r="B7" s="70" t="inlineStr">
        <is>
          <t>Syringe 10cc ×2</t>
        </is>
      </c>
      <c r="C7" s="70" t="n"/>
      <c r="D7" s="70" t="inlineStr">
        <is>
          <t>No.</t>
        </is>
      </c>
      <c r="E7" s="70" t="n">
        <v>2</v>
      </c>
      <c r="F7" s="71" t="n">
        <v>13.3</v>
      </c>
      <c r="G7" s="71">
        <f>E7*F7</f>
        <v/>
      </c>
      <c r="H7" s="71" t="n">
        <v>5.3</v>
      </c>
      <c r="I7" s="71">
        <f>E7*H7</f>
        <v/>
      </c>
      <c r="J7" s="70" t="inlineStr">
        <is>
          <t>M.R. MR000753</t>
        </is>
      </c>
    </row>
    <row r="8" ht="15" customHeight="1" s="66">
      <c r="A8" s="70" t="n">
        <v>4</v>
      </c>
      <c r="B8" s="70" t="inlineStr">
        <is>
          <t>Inj. Anawin Heavy 4ml</t>
        </is>
      </c>
      <c r="C8" s="70" t="n"/>
      <c r="D8" s="70" t="inlineStr">
        <is>
          <t>No.</t>
        </is>
      </c>
      <c r="E8" s="70" t="n">
        <v>1</v>
      </c>
      <c r="F8" s="71" t="n">
        <v>31.47</v>
      </c>
      <c r="G8" s="71">
        <f>E8*F8</f>
        <v/>
      </c>
      <c r="H8" s="71" t="n">
        <v>24.76</v>
      </c>
      <c r="I8" s="71">
        <f>E8*H8</f>
        <v/>
      </c>
      <c r="J8" s="70" t="inlineStr">
        <is>
          <t>S.S.B. S000092</t>
        </is>
      </c>
    </row>
    <row r="9" ht="15" customHeight="1" s="66">
      <c r="A9" s="70" t="n">
        <v>5</v>
      </c>
      <c r="B9" s="70" t="inlineStr">
        <is>
          <t>OT Mop / Abd. Swab ×2</t>
        </is>
      </c>
      <c r="C9" s="70" t="n"/>
      <c r="D9" s="70" t="inlineStr">
        <is>
          <t>No.</t>
        </is>
      </c>
      <c r="E9" s="70" t="n">
        <v>2</v>
      </c>
      <c r="F9" s="71" t="n">
        <v>95</v>
      </c>
      <c r="G9" s="71">
        <f>E9*F9</f>
        <v/>
      </c>
      <c r="H9" s="71" t="n">
        <v>40.15</v>
      </c>
      <c r="I9" s="71">
        <f>E9*H9</f>
        <v/>
      </c>
      <c r="J9" s="70" t="inlineStr">
        <is>
          <t>B.P. 349</t>
        </is>
      </c>
    </row>
    <row r="10" ht="15" customHeight="1" s="66">
      <c r="A10" s="125" t="n">
        <v>6</v>
      </c>
      <c r="B10" s="125" t="inlineStr">
        <is>
          <t>Gauze Pieces ×20</t>
        </is>
      </c>
      <c r="C10" s="125" t="n"/>
      <c r="D10" s="125" t="inlineStr">
        <is>
          <t>No.</t>
        </is>
      </c>
      <c r="E10" s="125" t="n">
        <v>20</v>
      </c>
      <c r="F10" s="125" t="n">
        <v>14</v>
      </c>
      <c r="G10" s="125" t="n">
        <v>280</v>
      </c>
      <c r="H10" s="125" t="n">
        <v>5.46</v>
      </c>
      <c r="I10" s="125" t="n">
        <v>109.2</v>
      </c>
      <c r="J10" s="125" t="inlineStr">
        <is>
          <t>Filled from stock/rate card</t>
        </is>
      </c>
    </row>
    <row r="11" ht="15" customHeight="1" s="66">
      <c r="A11" s="70" t="n">
        <v>7</v>
      </c>
      <c r="B11" s="70" t="inlineStr">
        <is>
          <t>Roller Bandage 6" ×2</t>
        </is>
      </c>
      <c r="C11" s="70" t="n"/>
      <c r="D11" s="70" t="inlineStr">
        <is>
          <t>No.</t>
        </is>
      </c>
      <c r="E11" s="70" t="n">
        <v>2</v>
      </c>
      <c r="F11" s="71" t="n">
        <v>124</v>
      </c>
      <c r="G11" s="71">
        <f>E11*F11</f>
        <v/>
      </c>
      <c r="H11" s="71" t="n">
        <v>78</v>
      </c>
      <c r="I11" s="71">
        <f>E11*H11</f>
        <v/>
      </c>
      <c r="J11" s="70" t="inlineStr">
        <is>
          <t>B.P. 340</t>
        </is>
      </c>
    </row>
    <row r="12" ht="15" customHeight="1" s="66">
      <c r="A12" s="70" t="n">
        <v>8</v>
      </c>
      <c r="B12" s="70" t="inlineStr">
        <is>
          <t>Cotton</t>
        </is>
      </c>
      <c r="C12" s="70" t="n"/>
      <c r="D12" s="70" t="inlineStr">
        <is>
          <t>No.</t>
        </is>
      </c>
      <c r="E12" s="70" t="n">
        <v>1</v>
      </c>
      <c r="F12" s="71" t="n">
        <v>160</v>
      </c>
      <c r="G12" s="71">
        <f>E12*F12</f>
        <v/>
      </c>
      <c r="H12" s="71" t="n">
        <v>47.62</v>
      </c>
      <c r="I12" s="71">
        <f>E12*H12</f>
        <v/>
      </c>
      <c r="J12" s="70" t="inlineStr">
        <is>
          <t>S.S.B. S000645</t>
        </is>
      </c>
    </row>
    <row r="13" ht="15" customHeight="1" s="66">
      <c r="A13" s="125" t="n">
        <v>9</v>
      </c>
      <c r="B13" s="125" t="inlineStr">
        <is>
          <t>Sterilium 50ml</t>
        </is>
      </c>
      <c r="C13" s="125" t="n"/>
      <c r="D13" s="125" t="inlineStr">
        <is>
          <t>No.</t>
        </is>
      </c>
      <c r="E13" s="125" t="n">
        <v>1</v>
      </c>
      <c r="F13" s="125" t="n">
        <v>150</v>
      </c>
      <c r="G13" s="125" t="n">
        <v>150</v>
      </c>
      <c r="H13" s="125" t="n">
        <v>38.1</v>
      </c>
      <c r="I13" s="125" t="n">
        <v>38.1</v>
      </c>
      <c r="J13" s="125" t="inlineStr">
        <is>
          <t>Filled from stock/rate card</t>
        </is>
      </c>
    </row>
    <row r="14" ht="15" customHeight="1" s="66">
      <c r="A14" s="70" t="n">
        <v>10</v>
      </c>
      <c r="B14" s="70" t="inlineStr">
        <is>
          <t>Gloves 7.0 ×5</t>
        </is>
      </c>
      <c r="C14" s="70" t="n"/>
      <c r="D14" s="70" t="inlineStr">
        <is>
          <t>No.</t>
        </is>
      </c>
      <c r="E14" s="70" t="n">
        <v>5</v>
      </c>
      <c r="F14" s="71" t="n">
        <v>91</v>
      </c>
      <c r="G14" s="71">
        <f>E14*F14</f>
        <v/>
      </c>
      <c r="H14" s="71" t="n">
        <v>19.06</v>
      </c>
      <c r="I14" s="71">
        <f>E14*H14</f>
        <v/>
      </c>
      <c r="J14" s="70" t="inlineStr">
        <is>
          <t>Vivekananda F/747</t>
        </is>
      </c>
    </row>
    <row r="15" ht="15" customHeight="1" s="66">
      <c r="A15" s="70" t="n">
        <v>11</v>
      </c>
      <c r="B15" s="70" t="inlineStr">
        <is>
          <t>Gloves 6.5</t>
        </is>
      </c>
      <c r="C15" s="70" t="n"/>
      <c r="D15" s="70" t="inlineStr">
        <is>
          <t>No.</t>
        </is>
      </c>
      <c r="E15" s="70" t="n">
        <v>1</v>
      </c>
      <c r="F15" s="71" t="n">
        <v>91</v>
      </c>
      <c r="G15" s="71">
        <f>E15*F15</f>
        <v/>
      </c>
      <c r="H15" s="71" t="n">
        <v>19.06</v>
      </c>
      <c r="I15" s="71">
        <f>E15*H15</f>
        <v/>
      </c>
      <c r="J15" s="70" t="inlineStr">
        <is>
          <t>Vivekananda F/747</t>
        </is>
      </c>
    </row>
    <row r="16" ht="15" customHeight="1" s="66">
      <c r="A16" s="70" t="n">
        <v>12</v>
      </c>
      <c r="B16" s="70" t="inlineStr">
        <is>
          <t>Plain Sheet ×2</t>
        </is>
      </c>
      <c r="C16" s="70" t="n"/>
      <c r="D16" s="70" t="inlineStr">
        <is>
          <t>No.</t>
        </is>
      </c>
      <c r="E16" s="70" t="n">
        <v>2</v>
      </c>
      <c r="F16" s="71" t="n">
        <v>119.5</v>
      </c>
      <c r="G16" s="71">
        <f>E16*F16</f>
        <v/>
      </c>
      <c r="H16" s="71" t="n">
        <v>57.96</v>
      </c>
      <c r="I16" s="71">
        <f>E16*H16</f>
        <v/>
      </c>
      <c r="J16" s="70" t="inlineStr">
        <is>
          <t>M.R. MR000352</t>
        </is>
      </c>
    </row>
    <row r="17" ht="15" customHeight="1" s="66">
      <c r="A17" s="125" t="n">
        <v>13</v>
      </c>
      <c r="B17" s="125" t="inlineStr">
        <is>
          <t>Cap + Mask ×4</t>
        </is>
      </c>
      <c r="C17" s="125" t="n"/>
      <c r="D17" s="125" t="inlineStr">
        <is>
          <t>No.</t>
        </is>
      </c>
      <c r="E17" s="125" t="n">
        <v>4</v>
      </c>
      <c r="F17" s="125" t="n">
        <v>25</v>
      </c>
      <c r="G17" s="125" t="n">
        <v>100</v>
      </c>
      <c r="H17" s="125" t="inlineStr">
        <is>
          <t>⚠</t>
        </is>
      </c>
      <c r="I17" s="125" t="inlineStr">
        <is>
          <t>⚠</t>
        </is>
      </c>
      <c r="J17" s="125" t="inlineStr">
        <is>
          <t>MRP filled; cost ⚠</t>
        </is>
      </c>
    </row>
    <row r="18" ht="15" customHeight="1" s="66">
      <c r="A18" s="70" t="n">
        <v>14</v>
      </c>
      <c r="B18" s="70" t="inlineStr">
        <is>
          <t>NS 500ml ×2</t>
        </is>
      </c>
      <c r="C18" s="70" t="n"/>
      <c r="D18" s="70" t="inlineStr">
        <is>
          <t>No.</t>
        </is>
      </c>
      <c r="E18" s="70" t="n">
        <v>2</v>
      </c>
      <c r="F18" s="71" t="n">
        <v>36.6</v>
      </c>
      <c r="G18" s="71">
        <f>E18*F18</f>
        <v/>
      </c>
      <c r="H18" s="71" t="n">
        <v>17.62</v>
      </c>
      <c r="I18" s="71">
        <f>E18*H18</f>
        <v/>
      </c>
      <c r="J18" s="70" t="inlineStr">
        <is>
          <t>S.S.B. S000645</t>
        </is>
      </c>
    </row>
    <row r="19" ht="15" customHeight="1" s="66">
      <c r="A19" s="70" t="n">
        <v>15</v>
      </c>
      <c r="B19" s="70" t="inlineStr">
        <is>
          <t>NS 1000ml</t>
        </is>
      </c>
      <c r="C19" s="70" t="n"/>
      <c r="D19" s="70" t="inlineStr">
        <is>
          <t>No.</t>
        </is>
      </c>
      <c r="E19" s="70" t="n">
        <v>1</v>
      </c>
      <c r="F19" s="71" t="n">
        <v>61.17</v>
      </c>
      <c r="G19" s="71">
        <f>E19*F19</f>
        <v/>
      </c>
      <c r="H19" s="71" t="n">
        <v>30.48</v>
      </c>
      <c r="I19" s="71">
        <f>E19*H19</f>
        <v/>
      </c>
      <c r="J19" s="70" t="inlineStr">
        <is>
          <t>S.S.B. S000645</t>
        </is>
      </c>
    </row>
    <row r="20" ht="15" customHeight="1" s="66">
      <c r="A20" s="70" t="n">
        <v>16</v>
      </c>
      <c r="B20" s="70" t="inlineStr">
        <is>
          <t>Betadine Lotion 100ml</t>
        </is>
      </c>
      <c r="C20" s="70" t="n"/>
      <c r="D20" s="70" t="inlineStr">
        <is>
          <t>No.</t>
        </is>
      </c>
      <c r="E20" s="70" t="n">
        <v>1</v>
      </c>
      <c r="F20" s="71" t="n">
        <v>151.33</v>
      </c>
      <c r="G20" s="71">
        <f>E20*F20</f>
        <v/>
      </c>
      <c r="H20" s="71" t="n">
        <v>85.70999999999999</v>
      </c>
      <c r="I20" s="71">
        <f>E20*H20</f>
        <v/>
      </c>
      <c r="J20" s="70" t="inlineStr">
        <is>
          <t>S.S.B. S000645</t>
        </is>
      </c>
    </row>
    <row r="21" ht="15" customHeight="1" s="66">
      <c r="A21" s="70" t="n">
        <v>17</v>
      </c>
      <c r="B21" s="70" t="inlineStr">
        <is>
          <t>Betadine Scrub 100ml</t>
        </is>
      </c>
      <c r="C21" s="70" t="n"/>
      <c r="D21" s="70" t="inlineStr">
        <is>
          <t>No.</t>
        </is>
      </c>
      <c r="E21" s="70" t="n">
        <v>1</v>
      </c>
      <c r="F21" s="71" t="n">
        <v>151.33</v>
      </c>
      <c r="G21" s="71">
        <f>E21*F21</f>
        <v/>
      </c>
      <c r="H21" s="71" t="n">
        <v>85.70999999999999</v>
      </c>
      <c r="I21" s="71">
        <f>E21*H21</f>
        <v/>
      </c>
      <c r="J21" s="70" t="inlineStr">
        <is>
          <t>S.S.B. S000645</t>
        </is>
      </c>
    </row>
    <row r="22" ht="15" customHeight="1" s="66">
      <c r="A22" s="125" t="n">
        <v>18</v>
      </c>
      <c r="B22" s="125" t="inlineStr">
        <is>
          <t>Suture Vicryl VP2421 (1-0)</t>
        </is>
      </c>
      <c r="C22" s="125" t="n"/>
      <c r="D22" s="125" t="inlineStr">
        <is>
          <t>No.</t>
        </is>
      </c>
      <c r="E22" s="125" t="n">
        <v>1</v>
      </c>
      <c r="F22" s="125" t="n">
        <v>1171</v>
      </c>
      <c r="G22" s="125" t="n">
        <v>1171</v>
      </c>
      <c r="H22" s="125" t="n">
        <v>644.17</v>
      </c>
      <c r="I22" s="125" t="n">
        <v>644.17</v>
      </c>
      <c r="J22" s="125" t="inlineStr">
        <is>
          <t>Filled from stock/rate card</t>
        </is>
      </c>
    </row>
    <row r="23" ht="15" customHeight="1" s="66">
      <c r="A23" s="125" t="n">
        <v>19</v>
      </c>
      <c r="B23" s="125" t="inlineStr">
        <is>
          <t>Suture Ethilon 2-0 (SN3336)</t>
        </is>
      </c>
      <c r="C23" s="125" t="n"/>
      <c r="D23" s="125" t="inlineStr">
        <is>
          <t>No.</t>
        </is>
      </c>
      <c r="E23" s="125" t="n">
        <v>1</v>
      </c>
      <c r="F23" s="125" t="n">
        <v>277</v>
      </c>
      <c r="G23" s="125" t="n">
        <v>277</v>
      </c>
      <c r="H23" s="125" t="n">
        <v>49.52</v>
      </c>
      <c r="I23" s="125" t="n">
        <v>49.52</v>
      </c>
      <c r="J23" s="125" t="inlineStr">
        <is>
          <t>Filled from stock/rate card</t>
        </is>
      </c>
    </row>
    <row r="24" ht="15" customHeight="1" s="66">
      <c r="A24" s="70" t="n">
        <v>20</v>
      </c>
      <c r="B24" s="70" t="inlineStr">
        <is>
          <t>Dynaplast (Adhesive Bandage)</t>
        </is>
      </c>
      <c r="C24" s="70" t="n"/>
      <c r="D24" s="70" t="inlineStr">
        <is>
          <t>No.</t>
        </is>
      </c>
      <c r="E24" s="70" t="n">
        <v>1</v>
      </c>
      <c r="F24" s="71" t="n">
        <v>1392</v>
      </c>
      <c r="G24" s="71">
        <f>E24*F24</f>
        <v/>
      </c>
      <c r="H24" s="71" t="n">
        <v>232.5</v>
      </c>
      <c r="I24" s="71">
        <f>E24*H24</f>
        <v/>
      </c>
      <c r="J24" s="70" t="inlineStr">
        <is>
          <t>B.P. 340</t>
        </is>
      </c>
    </row>
    <row r="25" ht="15" customHeight="1" s="66">
      <c r="A25" s="125" t="n">
        <v>21</v>
      </c>
      <c r="B25" s="125" t="inlineStr">
        <is>
          <t>Surgical Blade No. 20</t>
        </is>
      </c>
      <c r="C25" s="125" t="n"/>
      <c r="D25" s="125" t="inlineStr">
        <is>
          <t>No.</t>
        </is>
      </c>
      <c r="E25" s="125" t="n">
        <v>1</v>
      </c>
      <c r="F25" s="125" t="n">
        <v>750</v>
      </c>
      <c r="G25" s="125" t="n">
        <v>750</v>
      </c>
      <c r="H25" s="125" t="inlineStr">
        <is>
          <t>⚠</t>
        </is>
      </c>
      <c r="I25" s="125" t="inlineStr">
        <is>
          <t>⚠</t>
        </is>
      </c>
      <c r="J25" s="125" t="inlineStr">
        <is>
          <t>MRP filled; cost ⚠</t>
        </is>
      </c>
    </row>
    <row r="26" ht="15" customHeight="1" s="66">
      <c r="A26" s="70" t="n">
        <v>22</v>
      </c>
      <c r="B26" s="70" t="inlineStr">
        <is>
          <t>IV Cannula 18G (Venflon)</t>
        </is>
      </c>
      <c r="C26" s="70" t="n"/>
      <c r="D26" s="70" t="inlineStr">
        <is>
          <t>No.</t>
        </is>
      </c>
      <c r="E26" s="70" t="n">
        <v>1</v>
      </c>
      <c r="F26" s="71" t="n">
        <v>321</v>
      </c>
      <c r="G26" s="71">
        <f>E26*F26</f>
        <v/>
      </c>
      <c r="H26" s="71" t="n">
        <v>55</v>
      </c>
      <c r="I26" s="71">
        <f>E26*H26</f>
        <v/>
      </c>
      <c r="J26" s="70" t="inlineStr">
        <is>
          <t>Vivekananda F/684</t>
        </is>
      </c>
    </row>
    <row r="27" ht="15" customHeight="1" s="66">
      <c r="A27" s="70" t="n">
        <v>23</v>
      </c>
      <c r="B27" s="70" t="inlineStr">
        <is>
          <t>Easyfix</t>
        </is>
      </c>
      <c r="C27" s="70" t="n"/>
      <c r="D27" s="70" t="inlineStr">
        <is>
          <t>No.</t>
        </is>
      </c>
      <c r="E27" s="70" t="n">
        <v>1</v>
      </c>
      <c r="F27" s="71" t="n">
        <v>80.59999999999999</v>
      </c>
      <c r="G27" s="71">
        <f>E27*F27</f>
        <v/>
      </c>
      <c r="H27" s="71" t="n">
        <v>42.86</v>
      </c>
      <c r="I27" s="71">
        <f>E27*H27</f>
        <v/>
      </c>
      <c r="J27" s="70" t="inlineStr">
        <is>
          <t>S.S.B. S000293</t>
        </is>
      </c>
    </row>
    <row r="28" ht="15" customHeight="1" s="66">
      <c r="A28" s="70" t="n">
        <v>24</v>
      </c>
      <c r="B28" s="70" t="inlineStr">
        <is>
          <t>IV Set (Sangoflex)</t>
        </is>
      </c>
      <c r="C28" s="70" t="n"/>
      <c r="D28" s="70" t="inlineStr">
        <is>
          <t>No.</t>
        </is>
      </c>
      <c r="E28" s="70" t="n">
        <v>1</v>
      </c>
      <c r="F28" s="71" t="n">
        <v>201</v>
      </c>
      <c r="G28" s="71">
        <f>E28*F28</f>
        <v/>
      </c>
      <c r="H28" s="71" t="n">
        <v>11.9</v>
      </c>
      <c r="I28" s="71">
        <f>E28*H28</f>
        <v/>
      </c>
      <c r="J28" s="70" t="inlineStr">
        <is>
          <t>S.S.B. S000400</t>
        </is>
      </c>
    </row>
    <row r="29" ht="15" customHeight="1" s="66">
      <c r="A29" s="70" t="n">
        <v>25</v>
      </c>
      <c r="B29" s="70" t="inlineStr">
        <is>
          <t>Syringe 10ml</t>
        </is>
      </c>
      <c r="C29" s="70" t="n"/>
      <c r="D29" s="70" t="inlineStr">
        <is>
          <t>No.</t>
        </is>
      </c>
      <c r="E29" s="70" t="n">
        <v>1</v>
      </c>
      <c r="F29" s="71" t="n">
        <v>13.3</v>
      </c>
      <c r="G29" s="71">
        <f>E29*F29</f>
        <v/>
      </c>
      <c r="H29" s="71" t="n">
        <v>5.3</v>
      </c>
      <c r="I29" s="71">
        <f>E29*H29</f>
        <v/>
      </c>
      <c r="J29" s="70" t="inlineStr">
        <is>
          <t>M.R. MR000753</t>
        </is>
      </c>
    </row>
    <row r="30" ht="15" customHeight="1" s="66">
      <c r="A30" s="70" t="n">
        <v>26</v>
      </c>
      <c r="B30" s="70" t="inlineStr">
        <is>
          <t>Syringe 5ml</t>
        </is>
      </c>
      <c r="C30" s="70" t="n"/>
      <c r="D30" s="70" t="inlineStr">
        <is>
          <t>No.</t>
        </is>
      </c>
      <c r="E30" s="70" t="n">
        <v>1</v>
      </c>
      <c r="F30" s="71" t="n">
        <v>10.23</v>
      </c>
      <c r="G30" s="71">
        <f>E30*F30</f>
        <v/>
      </c>
      <c r="H30" s="71" t="n">
        <v>3.5</v>
      </c>
      <c r="I30" s="71">
        <f>E30*H30</f>
        <v/>
      </c>
      <c r="J30" s="70" t="inlineStr">
        <is>
          <t>M.R. MR000539</t>
        </is>
      </c>
    </row>
    <row r="31" ht="15" customHeight="1" s="66">
      <c r="A31" s="70" t="n">
        <v>27</v>
      </c>
      <c r="B31" s="70" t="inlineStr">
        <is>
          <t>NS 500ml</t>
        </is>
      </c>
      <c r="C31" s="70" t="n"/>
      <c r="D31" s="70" t="inlineStr">
        <is>
          <t>No.</t>
        </is>
      </c>
      <c r="E31" s="70" t="n">
        <v>1</v>
      </c>
      <c r="F31" s="71" t="n">
        <v>36.6</v>
      </c>
      <c r="G31" s="71">
        <f>E31*F31</f>
        <v/>
      </c>
      <c r="H31" s="71" t="n">
        <v>17.62</v>
      </c>
      <c r="I31" s="71">
        <f>E31*H31</f>
        <v/>
      </c>
      <c r="J31" s="70" t="inlineStr">
        <is>
          <t>S.S.B. S000645</t>
        </is>
      </c>
    </row>
    <row r="32" ht="15" customHeight="1" s="66">
      <c r="A32" s="70" t="n">
        <v>28</v>
      </c>
      <c r="B32" s="70" t="inlineStr">
        <is>
          <t>Inj. Pan 40 IV ×2</t>
        </is>
      </c>
      <c r="C32" s="70" t="n"/>
      <c r="D32" s="70" t="inlineStr">
        <is>
          <t>No.</t>
        </is>
      </c>
      <c r="E32" s="70" t="n">
        <v>2</v>
      </c>
      <c r="F32" s="71" t="n">
        <v>54.24</v>
      </c>
      <c r="G32" s="71">
        <f>E32*F32</f>
        <v/>
      </c>
      <c r="H32" s="71" t="n">
        <v>18</v>
      </c>
      <c r="I32" s="71">
        <f>E32*H32</f>
        <v/>
      </c>
      <c r="J32" s="70" t="inlineStr">
        <is>
          <t>M.R. MR000604</t>
        </is>
      </c>
    </row>
    <row r="33" ht="15" customHeight="1" s="66">
      <c r="A33" s="129" t="n">
        <v>29</v>
      </c>
      <c r="B33" s="129" t="inlineStr">
        <is>
          <t>Inj. Zofer (Ondansetron) ×3</t>
        </is>
      </c>
      <c r="C33" s="129" t="n"/>
      <c r="D33" s="129" t="inlineStr">
        <is>
          <t>No.</t>
        </is>
      </c>
      <c r="E33" s="129" t="n">
        <v>3</v>
      </c>
      <c r="F33" s="130" t="n">
        <v>146.25</v>
      </c>
      <c r="G33" s="130">
        <f>E33*F33</f>
        <v/>
      </c>
      <c r="H33" s="130" t="n">
        <v>109.52</v>
      </c>
      <c r="I33" s="130">
        <f>E33*H33</f>
        <v/>
      </c>
      <c r="J33" s="129" t="inlineStr">
        <is>
          <t>⚠ MRP OUTLIER — verify batch; S.S.B. S000670</t>
        </is>
      </c>
    </row>
    <row r="34" ht="15" customHeight="1" s="66">
      <c r="A34" s="70" t="n">
        <v>30</v>
      </c>
      <c r="B34" s="70" t="inlineStr">
        <is>
          <t>Inj. Xone 1g (Ceftriaxone) ×2</t>
        </is>
      </c>
      <c r="C34" s="70" t="n"/>
      <c r="D34" s="70" t="inlineStr">
        <is>
          <t>No.</t>
        </is>
      </c>
      <c r="E34" s="70" t="n">
        <v>2</v>
      </c>
      <c r="F34" s="71" t="n">
        <v>66.64</v>
      </c>
      <c r="G34" s="71">
        <f>E34*F34</f>
        <v/>
      </c>
      <c r="H34" s="71" t="n">
        <v>25.71</v>
      </c>
      <c r="I34" s="71">
        <f>E34*H34</f>
        <v/>
      </c>
      <c r="J34" s="70" t="inlineStr">
        <is>
          <t>S.S.B. S000135</t>
        </is>
      </c>
    </row>
    <row r="35" ht="15" customHeight="1" s="66">
      <c r="A35" s="125" t="n">
        <v>31</v>
      </c>
      <c r="B35" s="125" t="inlineStr">
        <is>
          <t>CBG Blood Glucose Test</t>
        </is>
      </c>
      <c r="C35" s="125" t="n"/>
      <c r="D35" s="125" t="inlineStr">
        <is>
          <t>No.</t>
        </is>
      </c>
      <c r="E35" s="125" t="n">
        <v>1</v>
      </c>
      <c r="F35" s="125" t="n">
        <v>785</v>
      </c>
      <c r="G35" s="125" t="n">
        <v>785</v>
      </c>
      <c r="H35" s="125" t="inlineStr">
        <is>
          <t>⚠</t>
        </is>
      </c>
      <c r="I35" s="125" t="inlineStr">
        <is>
          <t>⚠</t>
        </is>
      </c>
      <c r="J35" s="125" t="inlineStr">
        <is>
          <t>MRP filled; cost ⚠</t>
        </is>
      </c>
    </row>
    <row r="36" ht="15" customHeight="1" s="66">
      <c r="A36" s="70" t="n">
        <v>32</v>
      </c>
      <c r="B36" s="70" t="inlineStr">
        <is>
          <t>Needle 26G</t>
        </is>
      </c>
      <c r="C36" s="70" t="n"/>
      <c r="D36" s="70" t="inlineStr">
        <is>
          <t>No.</t>
        </is>
      </c>
      <c r="E36" s="70" t="n">
        <v>1</v>
      </c>
      <c r="F36" s="71" t="n">
        <v>243.75</v>
      </c>
      <c r="G36" s="71">
        <f>E36*F36</f>
        <v/>
      </c>
      <c r="H36" s="71" t="n">
        <v>80.95</v>
      </c>
      <c r="I36" s="71">
        <f>E36*H36</f>
        <v/>
      </c>
      <c r="J36" s="70" t="inlineStr">
        <is>
          <t>S.S.B. S000092</t>
        </is>
      </c>
    </row>
    <row r="37" ht="15" customHeight="1" s="66">
      <c r="A37" s="70" t="n">
        <v>33</v>
      </c>
      <c r="B37" s="70" t="inlineStr">
        <is>
          <t>Inj. Cetil 1.5g (Cefuroxime) ×3</t>
        </is>
      </c>
      <c r="C37" s="70" t="n"/>
      <c r="D37" s="70" t="inlineStr">
        <is>
          <t>No.</t>
        </is>
      </c>
      <c r="E37" s="70" t="n">
        <v>3</v>
      </c>
      <c r="F37" s="71" t="n">
        <v>146.9</v>
      </c>
      <c r="G37" s="71">
        <f>E37*F37</f>
        <v/>
      </c>
      <c r="H37" s="71" t="n">
        <v>90</v>
      </c>
      <c r="I37" s="71">
        <f>E37*H37</f>
        <v/>
      </c>
      <c r="J37" s="70" t="inlineStr">
        <is>
          <t>M.R. MR000659</t>
        </is>
      </c>
    </row>
    <row r="38" ht="15" customHeight="1" s="66">
      <c r="A38" s="125" t="n">
        <v>34</v>
      </c>
      <c r="B38" s="125" t="inlineStr">
        <is>
          <t>Inj. Dynapar AQ (Diclofenac) ×2</t>
        </is>
      </c>
      <c r="C38" s="125" t="n"/>
      <c r="D38" s="125" t="inlineStr">
        <is>
          <t>No.</t>
        </is>
      </c>
      <c r="E38" s="125" t="n">
        <v>2</v>
      </c>
      <c r="F38" s="125" t="n">
        <v>23.8</v>
      </c>
      <c r="G38" s="125" t="n">
        <v>47.6</v>
      </c>
      <c r="H38" s="125" t="n">
        <v>8.57</v>
      </c>
      <c r="I38" s="125" t="n">
        <v>17.14</v>
      </c>
      <c r="J38" s="125" t="inlineStr">
        <is>
          <t>Filled from stock/rate card</t>
        </is>
      </c>
    </row>
    <row r="39" ht="15" customHeight="1" s="66">
      <c r="A39" s="70" t="n">
        <v>35</v>
      </c>
      <c r="B39" s="70" t="inlineStr">
        <is>
          <t>IVF RL 500ml</t>
        </is>
      </c>
      <c r="C39" s="70" t="n"/>
      <c r="D39" s="70" t="inlineStr">
        <is>
          <t>No.</t>
        </is>
      </c>
      <c r="E39" s="70" t="n">
        <v>1</v>
      </c>
      <c r="F39" s="71" t="n">
        <v>59.31</v>
      </c>
      <c r="G39" s="71">
        <f>E39*F39</f>
        <v/>
      </c>
      <c r="H39" s="71" t="n">
        <v>18.57</v>
      </c>
      <c r="I39" s="71">
        <f>E39*H39</f>
        <v/>
      </c>
      <c r="J39" s="70" t="inlineStr">
        <is>
          <t>S.S.B. S000645</t>
        </is>
      </c>
    </row>
    <row r="40" ht="15" customHeight="1" s="66">
      <c r="A40" s="70" t="n">
        <v>36</v>
      </c>
      <c r="B40" s="70" t="inlineStr">
        <is>
          <t>Dynaplast (Adhesive Bandage)</t>
        </is>
      </c>
      <c r="C40" s="70" t="n"/>
      <c r="D40" s="70" t="inlineStr">
        <is>
          <t>No.</t>
        </is>
      </c>
      <c r="E40" s="70" t="n">
        <v>1</v>
      </c>
      <c r="F40" s="71" t="n">
        <v>1392</v>
      </c>
      <c r="G40" s="71">
        <f>E40*F40</f>
        <v/>
      </c>
      <c r="H40" s="71" t="n">
        <v>232.5</v>
      </c>
      <c r="I40" s="71">
        <f>E40*H40</f>
        <v/>
      </c>
      <c r="J40" s="70" t="inlineStr">
        <is>
          <t>B.P. 340</t>
        </is>
      </c>
    </row>
    <row r="41" ht="15" customHeight="1" s="66">
      <c r="A41" s="70" t="n">
        <v>37</v>
      </c>
      <c r="B41" s="70" t="inlineStr">
        <is>
          <t>NS 100ml</t>
        </is>
      </c>
      <c r="C41" s="70" t="n"/>
      <c r="D41" s="70" t="inlineStr">
        <is>
          <t>No.</t>
        </is>
      </c>
      <c r="E41" s="70" t="n">
        <v>1</v>
      </c>
      <c r="F41" s="71" t="n">
        <v>21</v>
      </c>
      <c r="G41" s="71">
        <f>E41*F41</f>
        <v/>
      </c>
      <c r="H41" s="71" t="n">
        <v>11.43</v>
      </c>
      <c r="I41" s="71">
        <f>E41*H41</f>
        <v/>
      </c>
      <c r="J41" s="70" t="inlineStr">
        <is>
          <t>S.S.B. S000645</t>
        </is>
      </c>
    </row>
    <row r="42" ht="15" customHeight="1" s="66">
      <c r="A42" s="125" t="n">
        <v>38</v>
      </c>
      <c r="B42" s="125" t="inlineStr">
        <is>
          <t>Inj. Diclofenac</t>
        </is>
      </c>
      <c r="C42" s="125" t="n"/>
      <c r="D42" s="125" t="inlineStr">
        <is>
          <t>No.</t>
        </is>
      </c>
      <c r="E42" s="125" t="n">
        <v>1</v>
      </c>
      <c r="F42" s="125" t="n">
        <v>23.8</v>
      </c>
      <c r="G42" s="125" t="n">
        <v>23.8</v>
      </c>
      <c r="H42" s="125" t="n">
        <v>8.57</v>
      </c>
      <c r="I42" s="125" t="n">
        <v>8.57</v>
      </c>
      <c r="J42" s="125" t="inlineStr">
        <is>
          <t>Filled from stock/rate card</t>
        </is>
      </c>
    </row>
    <row r="43" ht="15" customHeight="1" s="66">
      <c r="A43" s="126" t="inlineStr">
        <is>
          <t xml:space="preserve">  Subtotal — Consumables / Medicines</t>
        </is>
      </c>
      <c r="G43" s="127">
        <f>SUM(G5:G42)</f>
        <v/>
      </c>
      <c r="H43" s="128" t="n"/>
      <c r="I43" s="127">
        <f>SUM(I5:I42)</f>
        <v/>
      </c>
      <c r="J43" s="128" t="n"/>
    </row>
    <row r="45" ht="15" customHeight="1" s="66">
      <c r="A45" s="124" t="inlineStr">
        <is>
          <t xml:space="preserve">  SECTION B — ROOM / BED CHARGES</t>
        </is>
      </c>
    </row>
    <row r="46" ht="15" customHeight="1" s="66">
      <c r="A46" s="70" t="n">
        <v>1</v>
      </c>
      <c r="B46" s="70" t="inlineStr">
        <is>
          <t>Bed / Room Charges</t>
        </is>
      </c>
      <c r="C46" s="70" t="inlineStr">
        <is>
          <t>Ward</t>
        </is>
      </c>
      <c r="D46" s="70" t="inlineStr">
        <is>
          <t>Day</t>
        </is>
      </c>
      <c r="E46" s="70" t="n">
        <v>1</v>
      </c>
      <c r="F46" s="71" t="n">
        <v>1000</v>
      </c>
      <c r="G46" s="71">
        <f>E46*F46</f>
        <v/>
      </c>
      <c r="H46" s="70" t="inlineStr">
        <is>
          <t>—</t>
        </is>
      </c>
      <c r="I46" s="70" t="inlineStr">
        <is>
          <t>—</t>
        </is>
      </c>
      <c r="J46" s="70" t="inlineStr">
        <is>
          <t>Per sheet</t>
        </is>
      </c>
    </row>
    <row r="48" ht="15" customHeight="1" s="66">
      <c r="A48" s="124" t="inlineStr">
        <is>
          <t xml:space="preserve">  SECTION C — OT / PROCEDURE CHARGES</t>
        </is>
      </c>
    </row>
    <row r="49" ht="15" customHeight="1" s="66">
      <c r="A49" s="70" t="n">
        <v>1</v>
      </c>
      <c r="B49" s="70" t="inlineStr">
        <is>
          <t>OT / Procedure Charges</t>
        </is>
      </c>
      <c r="C49" s="70" t="inlineStr">
        <is>
          <t>Per procedure</t>
        </is>
      </c>
      <c r="D49" s="70" t="inlineStr">
        <is>
          <t>—</t>
        </is>
      </c>
      <c r="E49" s="70" t="n">
        <v>1</v>
      </c>
      <c r="F49" s="71" t="n">
        <v>1500</v>
      </c>
      <c r="G49" s="71">
        <f>E49*F49</f>
        <v/>
      </c>
      <c r="H49" s="70" t="inlineStr">
        <is>
          <t>—</t>
        </is>
      </c>
      <c r="I49" s="70" t="inlineStr">
        <is>
          <t>—</t>
        </is>
      </c>
      <c r="J49" s="70" t="inlineStr">
        <is>
          <t>Per sheet</t>
        </is>
      </c>
    </row>
    <row r="51" ht="15" customHeight="1" s="66">
      <c r="A51" s="72" t="inlineStr">
        <is>
          <t>GRAND TOTAL PATIENT BILL</t>
        </is>
      </c>
      <c r="G51" s="73">
        <f>G43+SUM(G46:G46)+SUM(G49:G49)</f>
        <v/>
      </c>
      <c r="H51" s="73">
        <f>I43</f>
        <v/>
      </c>
      <c r="I51" s="73">
        <f>G51-H51</f>
        <v/>
      </c>
      <c r="J51" s="72" t="inlineStr">
        <is>
          <t>Bill | Cost | Margin</t>
        </is>
      </c>
    </row>
  </sheetData>
  <mergeCells count="6">
    <mergeCell ref="A1:J1"/>
    <mergeCell ref="A45:J45"/>
    <mergeCell ref="A51:F51"/>
    <mergeCell ref="A3:J3"/>
    <mergeCell ref="A48:J48"/>
    <mergeCell ref="A43:F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J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Sohallam Molla</t>
        </is>
      </c>
      <c r="E2" s="123" t="inlineStr">
        <is>
          <t>Doctor: Dr. K. Digga</t>
        </is>
      </c>
      <c r="G2" s="123" t="inlineStr">
        <is>
          <t>Date: 26/06/2026</t>
        </is>
      </c>
      <c r="I2" s="123" t="inlineStr">
        <is>
          <t>Proc: Spinal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70" t="n">
        <v>1</v>
      </c>
      <c r="B5" s="70" t="inlineStr">
        <is>
          <t>Spinal Needle 25G (Spinocaine)</t>
        </is>
      </c>
      <c r="C5" s="70" t="n"/>
      <c r="D5" s="70" t="inlineStr">
        <is>
          <t>No.</t>
        </is>
      </c>
      <c r="E5" s="70" t="n">
        <v>1</v>
      </c>
      <c r="F5" s="71" t="n">
        <v>153</v>
      </c>
      <c r="G5" s="71">
        <f>E5*F5</f>
        <v/>
      </c>
      <c r="H5" s="71" t="n">
        <v>74.29000000000001</v>
      </c>
      <c r="I5" s="71">
        <f>E5*H5</f>
        <v/>
      </c>
      <c r="J5" s="70" t="inlineStr">
        <is>
          <t>S.S.B. S000092</t>
        </is>
      </c>
    </row>
    <row r="6" ht="15" customHeight="1" s="66">
      <c r="A6" s="70" t="n">
        <v>2</v>
      </c>
      <c r="B6" s="70" t="inlineStr">
        <is>
          <t>Syringe 2cc ×2</t>
        </is>
      </c>
      <c r="C6" s="70" t="n"/>
      <c r="D6" s="70" t="inlineStr">
        <is>
          <t>No.</t>
        </is>
      </c>
      <c r="E6" s="70" t="n">
        <v>2</v>
      </c>
      <c r="F6" s="71" t="n">
        <v>8.449999999999999</v>
      </c>
      <c r="G6" s="71">
        <f>E6*F6</f>
        <v/>
      </c>
      <c r="H6" s="71" t="n">
        <v>2.3</v>
      </c>
      <c r="I6" s="71">
        <f>E6*H6</f>
        <v/>
      </c>
      <c r="J6" s="70" t="inlineStr">
        <is>
          <t>M.R. MR000753</t>
        </is>
      </c>
    </row>
    <row r="7" ht="15" customHeight="1" s="66">
      <c r="A7" s="70" t="n">
        <v>3</v>
      </c>
      <c r="B7" s="70" t="inlineStr">
        <is>
          <t>Syringe 5cc ×2</t>
        </is>
      </c>
      <c r="C7" s="70" t="n"/>
      <c r="D7" s="70" t="inlineStr">
        <is>
          <t>No.</t>
        </is>
      </c>
      <c r="E7" s="70" t="n">
        <v>2</v>
      </c>
      <c r="F7" s="71" t="n">
        <v>10.23</v>
      </c>
      <c r="G7" s="71">
        <f>E7*F7</f>
        <v/>
      </c>
      <c r="H7" s="71" t="n">
        <v>3.5</v>
      </c>
      <c r="I7" s="71">
        <f>E7*H7</f>
        <v/>
      </c>
      <c r="J7" s="70" t="inlineStr">
        <is>
          <t>M.R. MR000539</t>
        </is>
      </c>
    </row>
    <row r="8" ht="15" customHeight="1" s="66">
      <c r="A8" s="70" t="n">
        <v>4</v>
      </c>
      <c r="B8" s="70" t="inlineStr">
        <is>
          <t>Syringe 10cc ×3</t>
        </is>
      </c>
      <c r="C8" s="70" t="n"/>
      <c r="D8" s="70" t="inlineStr">
        <is>
          <t>No.</t>
        </is>
      </c>
      <c r="E8" s="70" t="n">
        <v>3</v>
      </c>
      <c r="F8" s="71" t="n">
        <v>13.3</v>
      </c>
      <c r="G8" s="71">
        <f>E8*F8</f>
        <v/>
      </c>
      <c r="H8" s="71" t="n">
        <v>5.3</v>
      </c>
      <c r="I8" s="71">
        <f>E8*H8</f>
        <v/>
      </c>
      <c r="J8" s="70" t="inlineStr">
        <is>
          <t>M.R. MR000753</t>
        </is>
      </c>
    </row>
    <row r="9" ht="15" customHeight="1" s="66">
      <c r="A9" s="70" t="n">
        <v>5</v>
      </c>
      <c r="B9" s="70" t="inlineStr">
        <is>
          <t>Distilled Water 10ml ×4</t>
        </is>
      </c>
      <c r="C9" s="70" t="n"/>
      <c r="D9" s="70" t="inlineStr">
        <is>
          <t>No.</t>
        </is>
      </c>
      <c r="E9" s="70" t="n">
        <v>4</v>
      </c>
      <c r="F9" s="71" t="n">
        <v>3.24</v>
      </c>
      <c r="G9" s="71">
        <f>E9*F9</f>
        <v/>
      </c>
      <c r="H9" s="71" t="n">
        <v>2.51</v>
      </c>
      <c r="I9" s="71">
        <f>E9*H9</f>
        <v/>
      </c>
      <c r="J9" s="70" t="inlineStr">
        <is>
          <t>Vivekananda F/747</t>
        </is>
      </c>
    </row>
    <row r="10" ht="15" customHeight="1" s="66">
      <c r="A10" s="70" t="n">
        <v>6</v>
      </c>
      <c r="B10" s="70" t="inlineStr">
        <is>
          <t>Inj. Midazolam 2ml</t>
        </is>
      </c>
      <c r="C10" s="70" t="n"/>
      <c r="D10" s="70" t="inlineStr">
        <is>
          <t>No.</t>
        </is>
      </c>
      <c r="E10" s="70" t="n">
        <v>1</v>
      </c>
      <c r="F10" s="71" t="n">
        <v>31.03</v>
      </c>
      <c r="G10" s="71">
        <f>E10*F10</f>
        <v/>
      </c>
      <c r="H10" s="71" t="n">
        <v>23.81</v>
      </c>
      <c r="I10" s="71">
        <f>E10*H10</f>
        <v/>
      </c>
      <c r="J10" s="70" t="inlineStr">
        <is>
          <t>S.S.B. S000092</t>
        </is>
      </c>
    </row>
    <row r="11" ht="15" customHeight="1" s="66">
      <c r="A11" s="70" t="n">
        <v>7</v>
      </c>
      <c r="B11" s="70" t="inlineStr">
        <is>
          <t>Foley's Catheter 16 No.</t>
        </is>
      </c>
      <c r="C11" s="70" t="n"/>
      <c r="D11" s="70" t="inlineStr">
        <is>
          <t>No.</t>
        </is>
      </c>
      <c r="E11" s="70" t="n">
        <v>1</v>
      </c>
      <c r="F11" s="71" t="n">
        <v>174</v>
      </c>
      <c r="G11" s="71">
        <f>E11*F11</f>
        <v/>
      </c>
      <c r="H11" s="71" t="n">
        <v>126.5</v>
      </c>
      <c r="I11" s="71">
        <f>E11*H11</f>
        <v/>
      </c>
      <c r="J11" s="70" t="inlineStr">
        <is>
          <t>B.P. 248</t>
        </is>
      </c>
    </row>
    <row r="12" ht="15" customHeight="1" s="66">
      <c r="A12" s="70" t="n">
        <v>8</v>
      </c>
      <c r="B12" s="70" t="inlineStr">
        <is>
          <t>Urobag</t>
        </is>
      </c>
      <c r="C12" s="70" t="n"/>
      <c r="D12" s="70" t="inlineStr">
        <is>
          <t>No.</t>
        </is>
      </c>
      <c r="E12" s="70" t="n">
        <v>1</v>
      </c>
      <c r="F12" s="71" t="n">
        <v>361</v>
      </c>
      <c r="G12" s="71">
        <f>E12*F12</f>
        <v/>
      </c>
      <c r="H12" s="71" t="n">
        <v>35</v>
      </c>
      <c r="I12" s="71">
        <f>E12*H12</f>
        <v/>
      </c>
      <c r="J12" s="70" t="inlineStr">
        <is>
          <t>Vivekananda F/747</t>
        </is>
      </c>
    </row>
    <row r="13" ht="15" customHeight="1" s="66">
      <c r="A13" s="125" t="n">
        <v>9</v>
      </c>
      <c r="B13" s="125" t="inlineStr">
        <is>
          <t>Gauze (Clean Up) ×40</t>
        </is>
      </c>
      <c r="C13" s="125" t="n"/>
      <c r="D13" s="125" t="inlineStr">
        <is>
          <t>No.</t>
        </is>
      </c>
      <c r="E13" s="125" t="n">
        <v>40</v>
      </c>
      <c r="F13" s="125" t="n">
        <v>14</v>
      </c>
      <c r="G13" s="125" t="n">
        <v>560</v>
      </c>
      <c r="H13" s="125" t="n">
        <v>5.46</v>
      </c>
      <c r="I13" s="125" t="n">
        <v>218.4</v>
      </c>
      <c r="J13" s="125" t="inlineStr">
        <is>
          <t>Filled from stock/rate card</t>
        </is>
      </c>
    </row>
    <row r="14" ht="15" customHeight="1" s="66">
      <c r="A14" s="70" t="n">
        <v>10</v>
      </c>
      <c r="B14" s="70" t="inlineStr">
        <is>
          <t>OT Mop / Abd. Swab ×2</t>
        </is>
      </c>
      <c r="C14" s="70" t="n"/>
      <c r="D14" s="70" t="inlineStr">
        <is>
          <t>No.</t>
        </is>
      </c>
      <c r="E14" s="70" t="n">
        <v>2</v>
      </c>
      <c r="F14" s="71" t="n">
        <v>95</v>
      </c>
      <c r="G14" s="71">
        <f>E14*F14</f>
        <v/>
      </c>
      <c r="H14" s="71" t="n">
        <v>40.15</v>
      </c>
      <c r="I14" s="71">
        <f>E14*H14</f>
        <v/>
      </c>
      <c r="J14" s="70" t="inlineStr">
        <is>
          <t>B.P. 349</t>
        </is>
      </c>
    </row>
    <row r="15" ht="15" customHeight="1" s="66">
      <c r="A15" s="70" t="n">
        <v>11</v>
      </c>
      <c r="B15" s="70" t="inlineStr">
        <is>
          <t>Inj. Zofar + Lox 2% Adrenaline</t>
        </is>
      </c>
      <c r="C15" s="70" t="n"/>
      <c r="D15" s="70" t="inlineStr">
        <is>
          <t>No.</t>
        </is>
      </c>
      <c r="E15" s="70" t="n">
        <v>1</v>
      </c>
      <c r="F15" s="71" t="n">
        <v>33.3</v>
      </c>
      <c r="G15" s="71">
        <f>E15*F15</f>
        <v/>
      </c>
      <c r="H15" s="71" t="n">
        <v>25.24</v>
      </c>
      <c r="I15" s="71">
        <f>E15*H15</f>
        <v/>
      </c>
      <c r="J15" s="70" t="inlineStr">
        <is>
          <t>S.S.B. S000645</t>
        </is>
      </c>
    </row>
    <row r="16" ht="15" customHeight="1" s="66">
      <c r="A16" s="70" t="n">
        <v>12</v>
      </c>
      <c r="B16" s="70" t="inlineStr">
        <is>
          <t>Inj. Atropine + Adrenaline 1ml</t>
        </is>
      </c>
      <c r="C16" s="70" t="n"/>
      <c r="D16" s="70" t="inlineStr">
        <is>
          <t>No.</t>
        </is>
      </c>
      <c r="E16" s="70" t="n">
        <v>1</v>
      </c>
      <c r="F16" s="71" t="n">
        <v>7.3</v>
      </c>
      <c r="G16" s="71">
        <f>E16*F16</f>
        <v/>
      </c>
      <c r="H16" s="71" t="n">
        <v>5.71</v>
      </c>
      <c r="I16" s="71">
        <f>E16*H16</f>
        <v/>
      </c>
      <c r="J16" s="70" t="inlineStr">
        <is>
          <t>S.S.B. S000400</t>
        </is>
      </c>
    </row>
    <row r="17" ht="15" customHeight="1" s="66">
      <c r="A17" s="70" t="n">
        <v>13</v>
      </c>
      <c r="B17" s="70" t="inlineStr">
        <is>
          <t>Inj. Anawin Heavy 4ml</t>
        </is>
      </c>
      <c r="C17" s="70" t="n"/>
      <c r="D17" s="70" t="inlineStr">
        <is>
          <t>No.</t>
        </is>
      </c>
      <c r="E17" s="70" t="n">
        <v>1</v>
      </c>
      <c r="F17" s="71" t="n">
        <v>31.47</v>
      </c>
      <c r="G17" s="71">
        <f>E17*F17</f>
        <v/>
      </c>
      <c r="H17" s="71" t="n">
        <v>24.76</v>
      </c>
      <c r="I17" s="71">
        <f>E17*H17</f>
        <v/>
      </c>
      <c r="J17" s="70" t="inlineStr">
        <is>
          <t>S.S.B. S000092</t>
        </is>
      </c>
    </row>
    <row r="18" ht="15" customHeight="1" s="66">
      <c r="A18" s="125" t="n">
        <v>14</v>
      </c>
      <c r="B18" s="125" t="inlineStr">
        <is>
          <t>Inj. GTN (Glyceryl Trinitrate)</t>
        </is>
      </c>
      <c r="C18" s="125" t="n"/>
      <c r="D18" s="125" t="inlineStr">
        <is>
          <t>No.</t>
        </is>
      </c>
      <c r="E18" s="125" t="n">
        <v>1</v>
      </c>
      <c r="F18" s="125" t="n">
        <v>34.6</v>
      </c>
      <c r="G18" s="125" t="n">
        <v>34.6</v>
      </c>
      <c r="H18" s="125" t="inlineStr">
        <is>
          <t>⚠</t>
        </is>
      </c>
      <c r="I18" s="125" t="inlineStr">
        <is>
          <t>⚠</t>
        </is>
      </c>
      <c r="J18" s="125" t="inlineStr">
        <is>
          <t>Filled from stock/rate card</t>
        </is>
      </c>
    </row>
    <row r="19" ht="15" customHeight="1" s="66">
      <c r="A19" s="125" t="n">
        <v>15</v>
      </c>
      <c r="B19" s="125" t="inlineStr">
        <is>
          <t>Inj. Adrenaline 1ml</t>
        </is>
      </c>
      <c r="C19" s="125" t="n"/>
      <c r="D19" s="125" t="inlineStr">
        <is>
          <t>No.</t>
        </is>
      </c>
      <c r="E19" s="125" t="n">
        <v>1</v>
      </c>
      <c r="F19" s="125" t="n">
        <v>13.4</v>
      </c>
      <c r="G19" s="125" t="n">
        <v>13.4</v>
      </c>
      <c r="H19" s="125" t="inlineStr">
        <is>
          <t>⚠</t>
        </is>
      </c>
      <c r="I19" s="125" t="inlineStr">
        <is>
          <t>⚠</t>
        </is>
      </c>
      <c r="J19" s="125" t="inlineStr">
        <is>
          <t>MRP filled; cost ⚠</t>
        </is>
      </c>
    </row>
    <row r="20" ht="15" customHeight="1" s="66">
      <c r="A20" s="70" t="n">
        <v>16</v>
      </c>
      <c r="B20" s="70" t="inlineStr">
        <is>
          <t>Inj. Pentazocine 1ml ×2</t>
        </is>
      </c>
      <c r="C20" s="70" t="n"/>
      <c r="D20" s="70" t="inlineStr">
        <is>
          <t>No.</t>
        </is>
      </c>
      <c r="E20" s="70" t="n">
        <v>2</v>
      </c>
      <c r="F20" s="71" t="n">
        <v>59.59</v>
      </c>
      <c r="G20" s="71">
        <f>E20*F20</f>
        <v/>
      </c>
      <c r="H20" s="71" t="n">
        <v>22</v>
      </c>
      <c r="I20" s="71">
        <f>E20*H20</f>
        <v/>
      </c>
      <c r="J20" s="70" t="inlineStr">
        <is>
          <t>Vivekananda F/1180</t>
        </is>
      </c>
    </row>
    <row r="21" ht="15" customHeight="1" s="66">
      <c r="A21" s="125" t="n">
        <v>17</v>
      </c>
      <c r="B21" s="125" t="inlineStr">
        <is>
          <t>Inj. Glycopyrrolate 1ml</t>
        </is>
      </c>
      <c r="C21" s="125" t="n"/>
      <c r="D21" s="125" t="inlineStr">
        <is>
          <t>No.</t>
        </is>
      </c>
      <c r="E21" s="125" t="n">
        <v>1</v>
      </c>
      <c r="F21" s="125" t="n">
        <v>15.37</v>
      </c>
      <c r="G21" s="125" t="n">
        <v>15.37</v>
      </c>
      <c r="H21" s="125" t="n">
        <v>11.24</v>
      </c>
      <c r="I21" s="125" t="n">
        <v>11.24</v>
      </c>
      <c r="J21" s="125" t="inlineStr">
        <is>
          <t>Filled from stock/rate card</t>
        </is>
      </c>
    </row>
    <row r="22" ht="15" customHeight="1" s="66">
      <c r="A22" s="125" t="n">
        <v>18</v>
      </c>
      <c r="B22" s="125" t="inlineStr">
        <is>
          <t>Needles 18G ×2</t>
        </is>
      </c>
      <c r="C22" s="125" t="n"/>
      <c r="D22" s="125" t="inlineStr">
        <is>
          <t>No.</t>
        </is>
      </c>
      <c r="E22" s="125" t="n">
        <v>2</v>
      </c>
      <c r="F22" s="125" t="n">
        <v>3.38</v>
      </c>
      <c r="G22" s="125" t="n">
        <v>6.76</v>
      </c>
      <c r="H22" s="125" t="inlineStr">
        <is>
          <t>⚠</t>
        </is>
      </c>
      <c r="I22" s="125" t="inlineStr">
        <is>
          <t>⚠</t>
        </is>
      </c>
      <c r="J22" s="125" t="inlineStr">
        <is>
          <t>MRP filled; cost ⚠</t>
        </is>
      </c>
    </row>
    <row r="23" ht="15" customHeight="1" s="66">
      <c r="A23" s="70" t="n">
        <v>19</v>
      </c>
      <c r="B23" s="70" t="inlineStr">
        <is>
          <t>Roller Bandage ×5</t>
        </is>
      </c>
      <c r="C23" s="70" t="n"/>
      <c r="D23" s="70" t="inlineStr">
        <is>
          <t>No.</t>
        </is>
      </c>
      <c r="E23" s="70" t="n">
        <v>5</v>
      </c>
      <c r="F23" s="71" t="n">
        <v>124</v>
      </c>
      <c r="G23" s="71">
        <f>E23*F23</f>
        <v/>
      </c>
      <c r="H23" s="71" t="n">
        <v>78</v>
      </c>
      <c r="I23" s="71">
        <f>E23*H23</f>
        <v/>
      </c>
      <c r="J23" s="70" t="inlineStr">
        <is>
          <t>B.P. 340</t>
        </is>
      </c>
    </row>
    <row r="24" ht="15" customHeight="1" s="66">
      <c r="A24" s="70" t="n">
        <v>20</v>
      </c>
      <c r="B24" s="70" t="inlineStr">
        <is>
          <t>Cotton 100g</t>
        </is>
      </c>
      <c r="C24" s="70" t="n"/>
      <c r="D24" s="70" t="inlineStr">
        <is>
          <t>No.</t>
        </is>
      </c>
      <c r="E24" s="70" t="n">
        <v>1</v>
      </c>
      <c r="F24" s="71" t="n">
        <v>160</v>
      </c>
      <c r="G24" s="71">
        <f>E24*F24</f>
        <v/>
      </c>
      <c r="H24" s="71" t="n">
        <v>47.62</v>
      </c>
      <c r="I24" s="71">
        <f>E24*H24</f>
        <v/>
      </c>
      <c r="J24" s="70" t="inlineStr">
        <is>
          <t>S.S.B. S000645</t>
        </is>
      </c>
    </row>
    <row r="25" ht="15" customHeight="1" s="66">
      <c r="A25" s="70" t="n">
        <v>21</v>
      </c>
      <c r="B25" s="70" t="inlineStr">
        <is>
          <t>C Arm Cover</t>
        </is>
      </c>
      <c r="C25" s="70" t="n"/>
      <c r="D25" s="70" t="inlineStr">
        <is>
          <t>No.</t>
        </is>
      </c>
      <c r="E25" s="70" t="n">
        <v>1</v>
      </c>
      <c r="F25" s="71" t="n">
        <v>234</v>
      </c>
      <c r="G25" s="71">
        <f>E25*F25</f>
        <v/>
      </c>
      <c r="H25" s="71" t="n">
        <v>157.71</v>
      </c>
      <c r="I25" s="71">
        <f>E25*H25</f>
        <v/>
      </c>
      <c r="J25" s="70" t="inlineStr">
        <is>
          <t>B.P. 387</t>
        </is>
      </c>
    </row>
    <row r="26" ht="15" customHeight="1" s="66">
      <c r="A26" s="70" t="n">
        <v>22</v>
      </c>
      <c r="B26" s="70" t="inlineStr">
        <is>
          <t>Sterilium 100 ml</t>
        </is>
      </c>
      <c r="C26" s="70" t="n"/>
      <c r="D26" s="70" t="inlineStr">
        <is>
          <t>No.</t>
        </is>
      </c>
      <c r="E26" s="70" t="n">
        <v>1</v>
      </c>
      <c r="F26" s="71" t="n">
        <v>21</v>
      </c>
      <c r="G26" s="71">
        <f>E26*F26</f>
        <v/>
      </c>
      <c r="H26" s="71" t="n">
        <v>13</v>
      </c>
      <c r="I26" s="71">
        <f>E26*H26</f>
        <v/>
      </c>
      <c r="J26" s="70" t="inlineStr">
        <is>
          <t>Vivekananda F/748</t>
        </is>
      </c>
    </row>
    <row r="27" ht="15" customHeight="1" s="66">
      <c r="A27" s="70" t="n">
        <v>23</v>
      </c>
      <c r="B27" s="70" t="inlineStr">
        <is>
          <t>Gloves 7.0 ×9</t>
        </is>
      </c>
      <c r="C27" s="70" t="n"/>
      <c r="D27" s="70" t="inlineStr">
        <is>
          <t>No.</t>
        </is>
      </c>
      <c r="E27" s="70" t="n">
        <v>9</v>
      </c>
      <c r="F27" s="71" t="n">
        <v>91</v>
      </c>
      <c r="G27" s="71">
        <f>E27*F27</f>
        <v/>
      </c>
      <c r="H27" s="71" t="n">
        <v>19.06</v>
      </c>
      <c r="I27" s="71">
        <f>E27*H27</f>
        <v/>
      </c>
      <c r="J27" s="70" t="inlineStr">
        <is>
          <t>Vivekananda F/747</t>
        </is>
      </c>
    </row>
    <row r="28" ht="15" customHeight="1" s="66">
      <c r="A28" s="70" t="n">
        <v>24</v>
      </c>
      <c r="B28" s="70" t="inlineStr">
        <is>
          <t>NS 1000ml ×2</t>
        </is>
      </c>
      <c r="C28" s="70" t="n"/>
      <c r="D28" s="70" t="inlineStr">
        <is>
          <t>No.</t>
        </is>
      </c>
      <c r="E28" s="70" t="n">
        <v>2</v>
      </c>
      <c r="F28" s="71" t="n">
        <v>61.17</v>
      </c>
      <c r="G28" s="71">
        <f>E28*F28</f>
        <v/>
      </c>
      <c r="H28" s="71" t="n">
        <v>30.48</v>
      </c>
      <c r="I28" s="71">
        <f>E28*H28</f>
        <v/>
      </c>
      <c r="J28" s="70" t="inlineStr">
        <is>
          <t>S.S.B. S000645</t>
        </is>
      </c>
    </row>
    <row r="29" ht="15" customHeight="1" s="66">
      <c r="A29" s="70" t="n">
        <v>25</v>
      </c>
      <c r="B29" s="70" t="inlineStr">
        <is>
          <t>NS 500ml ×2</t>
        </is>
      </c>
      <c r="C29" s="70" t="n"/>
      <c r="D29" s="70" t="inlineStr">
        <is>
          <t>No.</t>
        </is>
      </c>
      <c r="E29" s="70" t="n">
        <v>2</v>
      </c>
      <c r="F29" s="71" t="n">
        <v>36.6</v>
      </c>
      <c r="G29" s="71">
        <f>E29*F29</f>
        <v/>
      </c>
      <c r="H29" s="71" t="n">
        <v>17.62</v>
      </c>
      <c r="I29" s="71">
        <f>E29*H29</f>
        <v/>
      </c>
      <c r="J29" s="70" t="inlineStr">
        <is>
          <t>S.S.B. S000645</t>
        </is>
      </c>
    </row>
    <row r="30" ht="15" customHeight="1" s="66">
      <c r="A30" s="70" t="n">
        <v>26</v>
      </c>
      <c r="B30" s="70" t="inlineStr">
        <is>
          <t>Betadine Lotion 100ml ×2</t>
        </is>
      </c>
      <c r="C30" s="70" t="n"/>
      <c r="D30" s="70" t="inlineStr">
        <is>
          <t>No.</t>
        </is>
      </c>
      <c r="E30" s="70" t="n">
        <v>2</v>
      </c>
      <c r="F30" s="71" t="n">
        <v>151.33</v>
      </c>
      <c r="G30" s="71">
        <f>E30*F30</f>
        <v/>
      </c>
      <c r="H30" s="71" t="n">
        <v>85.70999999999999</v>
      </c>
      <c r="I30" s="71">
        <f>E30*H30</f>
        <v/>
      </c>
      <c r="J30" s="70" t="inlineStr">
        <is>
          <t>S.S.B. S000645</t>
        </is>
      </c>
    </row>
    <row r="31" ht="15" customHeight="1" s="66">
      <c r="A31" s="125" t="n">
        <v>27</v>
      </c>
      <c r="B31" s="125" t="inlineStr">
        <is>
          <t>Diathermy Pencil (New)</t>
        </is>
      </c>
      <c r="C31" s="125" t="n"/>
      <c r="D31" s="125" t="inlineStr">
        <is>
          <t>No.</t>
        </is>
      </c>
      <c r="E31" s="125" t="n">
        <v>1</v>
      </c>
      <c r="F31" s="125" t="n">
        <v>1000</v>
      </c>
      <c r="G31" s="125" t="n">
        <v>1000</v>
      </c>
      <c r="H31" s="125" t="inlineStr">
        <is>
          <t>⚠</t>
        </is>
      </c>
      <c r="I31" s="125" t="inlineStr">
        <is>
          <t>⚠</t>
        </is>
      </c>
      <c r="J31" s="125" t="inlineStr">
        <is>
          <t>MRP filled; cost ⚠</t>
        </is>
      </c>
    </row>
    <row r="32" ht="15" customHeight="1" s="66">
      <c r="A32" s="125" t="n">
        <v>28</v>
      </c>
      <c r="B32" s="125" t="inlineStr">
        <is>
          <t>ECG Lead Wires ×3</t>
        </is>
      </c>
      <c r="C32" s="125" t="n"/>
      <c r="D32" s="125" t="inlineStr">
        <is>
          <t>No.</t>
        </is>
      </c>
      <c r="E32" s="125" t="n">
        <v>3</v>
      </c>
      <c r="F32" s="125" t="inlineStr">
        <is>
          <t>⚠</t>
        </is>
      </c>
      <c r="G32" s="125" t="inlineStr">
        <is>
          <t>⚠</t>
        </is>
      </c>
      <c r="H32" s="125" t="inlineStr">
        <is>
          <t>⚠</t>
        </is>
      </c>
      <c r="I32" s="125" t="inlineStr">
        <is>
          <t>⚠</t>
        </is>
      </c>
      <c r="J32" s="125" t="inlineStr">
        <is>
          <t>⚠ MRP NOT FOUND — fill in manually</t>
        </is>
      </c>
    </row>
    <row r="33" ht="15" customHeight="1" s="66">
      <c r="A33" s="70" t="n">
        <v>29</v>
      </c>
      <c r="B33" s="70" t="inlineStr">
        <is>
          <t>Plain Sheet</t>
        </is>
      </c>
      <c r="C33" s="70" t="n"/>
      <c r="D33" s="70" t="inlineStr">
        <is>
          <t>No.</t>
        </is>
      </c>
      <c r="E33" s="70" t="n">
        <v>1</v>
      </c>
      <c r="F33" s="71" t="n">
        <v>119.5</v>
      </c>
      <c r="G33" s="71">
        <f>E33*F33</f>
        <v/>
      </c>
      <c r="H33" s="71" t="n">
        <v>57.96</v>
      </c>
      <c r="I33" s="71">
        <f>E33*H33</f>
        <v/>
      </c>
      <c r="J33" s="70" t="inlineStr">
        <is>
          <t>M.R. MR000352</t>
        </is>
      </c>
    </row>
    <row r="34" ht="15" customHeight="1" s="66">
      <c r="A34" s="125" t="n">
        <v>30</v>
      </c>
      <c r="B34" s="125" t="inlineStr">
        <is>
          <t>Lox 2% Jelly</t>
        </is>
      </c>
      <c r="C34" s="125" t="n"/>
      <c r="D34" s="125" t="inlineStr">
        <is>
          <t>No.</t>
        </is>
      </c>
      <c r="E34" s="125" t="n">
        <v>1</v>
      </c>
      <c r="F34" s="125" t="n">
        <v>34.58</v>
      </c>
      <c r="G34" s="125" t="n">
        <v>34.58</v>
      </c>
      <c r="H34" s="125" t="n">
        <v>27</v>
      </c>
      <c r="I34" s="125" t="n">
        <v>27</v>
      </c>
      <c r="J34" s="125" t="inlineStr">
        <is>
          <t>Filled from stock/rate card</t>
        </is>
      </c>
    </row>
    <row r="35" ht="15" customHeight="1" s="66">
      <c r="A35" s="70" t="n">
        <v>31</v>
      </c>
      <c r="B35" s="70" t="inlineStr">
        <is>
          <t>Apron (Disposable)</t>
        </is>
      </c>
      <c r="C35" s="70" t="n"/>
      <c r="D35" s="70" t="inlineStr">
        <is>
          <t>No.</t>
        </is>
      </c>
      <c r="E35" s="70" t="n">
        <v>1</v>
      </c>
      <c r="F35" s="71" t="n">
        <v>672</v>
      </c>
      <c r="G35" s="71">
        <f>E35*F35</f>
        <v/>
      </c>
      <c r="H35" s="71" t="n">
        <v>186.5</v>
      </c>
      <c r="I35" s="71">
        <f>E35*H35</f>
        <v/>
      </c>
      <c r="J35" s="70" t="inlineStr">
        <is>
          <t>B.P. 393</t>
        </is>
      </c>
    </row>
    <row r="36" ht="15" customHeight="1" s="66">
      <c r="A36" s="125" t="n">
        <v>32</v>
      </c>
      <c r="B36" s="125" t="inlineStr">
        <is>
          <t>Cap + Mask ×5+5</t>
        </is>
      </c>
      <c r="C36" s="125" t="n"/>
      <c r="D36" s="125" t="inlineStr">
        <is>
          <t>No.</t>
        </is>
      </c>
      <c r="E36" s="125" t="n">
        <v>5</v>
      </c>
      <c r="F36" s="125" t="n">
        <v>25</v>
      </c>
      <c r="G36" s="125" t="n">
        <v>125</v>
      </c>
      <c r="H36" s="125" t="inlineStr">
        <is>
          <t>⚠</t>
        </is>
      </c>
      <c r="I36" s="125" t="inlineStr">
        <is>
          <t>⚠</t>
        </is>
      </c>
      <c r="J36" s="125" t="inlineStr">
        <is>
          <t>MRP filled; cost ⚠</t>
        </is>
      </c>
    </row>
    <row r="37" ht="15" customHeight="1" s="66">
      <c r="A37" s="125" t="n">
        <v>33</v>
      </c>
      <c r="B37" s="125" t="inlineStr">
        <is>
          <t>Suture Vicryl VP2421 (1-0)</t>
        </is>
      </c>
      <c r="C37" s="125" t="n"/>
      <c r="D37" s="125" t="inlineStr">
        <is>
          <t>No.</t>
        </is>
      </c>
      <c r="E37" s="125" t="n">
        <v>1</v>
      </c>
      <c r="F37" s="125" t="n">
        <v>1171</v>
      </c>
      <c r="G37" s="125" t="n">
        <v>1171</v>
      </c>
      <c r="H37" s="125" t="n">
        <v>644.17</v>
      </c>
      <c r="I37" s="125" t="n">
        <v>644.17</v>
      </c>
      <c r="J37" s="125" t="inlineStr">
        <is>
          <t>Filled from stock/rate card</t>
        </is>
      </c>
    </row>
    <row r="38" ht="15" customHeight="1" s="66">
      <c r="A38" s="125" t="n">
        <v>34</v>
      </c>
      <c r="B38" s="125" t="inlineStr">
        <is>
          <t>Suture Ethilon 2-0 (SN3336)</t>
        </is>
      </c>
      <c r="C38" s="125" t="n"/>
      <c r="D38" s="125" t="inlineStr">
        <is>
          <t>No.</t>
        </is>
      </c>
      <c r="E38" s="125" t="n">
        <v>1</v>
      </c>
      <c r="F38" s="125" t="n">
        <v>277</v>
      </c>
      <c r="G38" s="125" t="n">
        <v>277</v>
      </c>
      <c r="H38" s="125" t="n">
        <v>49.52</v>
      </c>
      <c r="I38" s="125" t="n">
        <v>49.52</v>
      </c>
      <c r="J38" s="125" t="inlineStr">
        <is>
          <t>Filled from stock/rate card</t>
        </is>
      </c>
    </row>
    <row r="39" ht="15" customHeight="1" s="66">
      <c r="A39" s="125" t="n">
        <v>35</v>
      </c>
      <c r="B39" s="125" t="inlineStr">
        <is>
          <t>Vaccu Suction</t>
        </is>
      </c>
      <c r="C39" s="125" t="n"/>
      <c r="D39" s="125" t="inlineStr">
        <is>
          <t>No.</t>
        </is>
      </c>
      <c r="E39" s="125" t="n">
        <v>1</v>
      </c>
      <c r="F39" s="125" t="n">
        <v>609</v>
      </c>
      <c r="G39" s="125" t="n">
        <v>609</v>
      </c>
      <c r="H39" s="125" t="n">
        <v>64</v>
      </c>
      <c r="I39" s="125" t="n">
        <v>64</v>
      </c>
      <c r="J39" s="125" t="inlineStr">
        <is>
          <t>Filled from stock/rate card</t>
        </is>
      </c>
    </row>
    <row r="40" ht="15" customHeight="1" s="66">
      <c r="A40" s="125" t="n">
        <v>36</v>
      </c>
      <c r="B40" s="125" t="inlineStr">
        <is>
          <t>Surgical Blade No. 11</t>
        </is>
      </c>
      <c r="C40" s="125" t="n"/>
      <c r="D40" s="125" t="inlineStr">
        <is>
          <t>No.</t>
        </is>
      </c>
      <c r="E40" s="125" t="n">
        <v>1</v>
      </c>
      <c r="F40" s="125" t="n">
        <v>750</v>
      </c>
      <c r="G40" s="125" t="n">
        <v>750</v>
      </c>
      <c r="H40" s="125" t="inlineStr">
        <is>
          <t>⚠</t>
        </is>
      </c>
      <c r="I40" s="125" t="inlineStr">
        <is>
          <t>⚠</t>
        </is>
      </c>
      <c r="J40" s="125" t="inlineStr">
        <is>
          <t>MRP filled; cost ⚠</t>
        </is>
      </c>
    </row>
    <row r="41" ht="15" customHeight="1" s="66">
      <c r="A41" s="125" t="n">
        <v>37</v>
      </c>
      <c r="B41" s="125" t="inlineStr">
        <is>
          <t>Surgical Blade No. 20</t>
        </is>
      </c>
      <c r="C41" s="125" t="n"/>
      <c r="D41" s="125" t="inlineStr">
        <is>
          <t>No.</t>
        </is>
      </c>
      <c r="E41" s="125" t="n">
        <v>1</v>
      </c>
      <c r="F41" s="125" t="n">
        <v>750</v>
      </c>
      <c r="G41" s="125" t="n">
        <v>750</v>
      </c>
      <c r="H41" s="125" t="inlineStr">
        <is>
          <t>⚠</t>
        </is>
      </c>
      <c r="I41" s="125" t="inlineStr">
        <is>
          <t>⚠</t>
        </is>
      </c>
      <c r="J41" s="125" t="inlineStr">
        <is>
          <t>MRP filled; cost ⚠</t>
        </is>
      </c>
    </row>
    <row r="42" ht="15" customHeight="1" s="66">
      <c r="A42" s="70" t="n">
        <v>38</v>
      </c>
      <c r="B42" s="70" t="inlineStr">
        <is>
          <t>Sangoflex / IV Set</t>
        </is>
      </c>
      <c r="C42" s="70" t="n"/>
      <c r="D42" s="70" t="inlineStr">
        <is>
          <t>No.</t>
        </is>
      </c>
      <c r="E42" s="70" t="n">
        <v>1</v>
      </c>
      <c r="F42" s="71" t="n">
        <v>201</v>
      </c>
      <c r="G42" s="71">
        <f>E42*F42</f>
        <v/>
      </c>
      <c r="H42" s="71" t="n">
        <v>11.9</v>
      </c>
      <c r="I42" s="71">
        <f>E42*H42</f>
        <v/>
      </c>
      <c r="J42" s="70" t="inlineStr">
        <is>
          <t>S.S.B. S000400</t>
        </is>
      </c>
    </row>
    <row r="43" ht="15" customHeight="1" s="66">
      <c r="A43" s="70" t="n">
        <v>39</v>
      </c>
      <c r="B43" s="70" t="inlineStr">
        <is>
          <t>IV Cannula 18G</t>
        </is>
      </c>
      <c r="C43" s="70" t="n"/>
      <c r="D43" s="70" t="inlineStr">
        <is>
          <t>No.</t>
        </is>
      </c>
      <c r="E43" s="70" t="n">
        <v>1</v>
      </c>
      <c r="F43" s="71" t="n">
        <v>321</v>
      </c>
      <c r="G43" s="71">
        <f>E43*F43</f>
        <v/>
      </c>
      <c r="H43" s="71" t="n">
        <v>55</v>
      </c>
      <c r="I43" s="71">
        <f>E43*H43</f>
        <v/>
      </c>
      <c r="J43" s="70" t="inlineStr">
        <is>
          <t>Vivekananda F/684</t>
        </is>
      </c>
    </row>
    <row r="44" ht="15" customHeight="1" s="66">
      <c r="A44" s="70" t="n">
        <v>40</v>
      </c>
      <c r="B44" s="70" t="inlineStr">
        <is>
          <t>Easyfix ×2</t>
        </is>
      </c>
      <c r="C44" s="70" t="n"/>
      <c r="D44" s="70" t="inlineStr">
        <is>
          <t>No.</t>
        </is>
      </c>
      <c r="E44" s="70" t="n">
        <v>2</v>
      </c>
      <c r="F44" s="71" t="n">
        <v>80.59999999999999</v>
      </c>
      <c r="G44" s="71">
        <f>E44*F44</f>
        <v/>
      </c>
      <c r="H44" s="71" t="n">
        <v>42.86</v>
      </c>
      <c r="I44" s="71">
        <f>E44*H44</f>
        <v/>
      </c>
      <c r="J44" s="70" t="inlineStr">
        <is>
          <t>S.S.B. S000293</t>
        </is>
      </c>
    </row>
    <row r="45" ht="15" customHeight="1" s="66">
      <c r="A45" s="70" t="n">
        <v>41</v>
      </c>
      <c r="B45" s="70" t="inlineStr">
        <is>
          <t>NS 500ml ×2</t>
        </is>
      </c>
      <c r="C45" s="70" t="n"/>
      <c r="D45" s="70" t="inlineStr">
        <is>
          <t>No.</t>
        </is>
      </c>
      <c r="E45" s="70" t="n">
        <v>2</v>
      </c>
      <c r="F45" s="71" t="n">
        <v>36.6</v>
      </c>
      <c r="G45" s="71">
        <f>E45*F45</f>
        <v/>
      </c>
      <c r="H45" s="71" t="n">
        <v>17.62</v>
      </c>
      <c r="I45" s="71">
        <f>E45*H45</f>
        <v/>
      </c>
      <c r="J45" s="70" t="inlineStr">
        <is>
          <t>S.S.B. S000645</t>
        </is>
      </c>
    </row>
    <row r="46" ht="15" customHeight="1" s="66">
      <c r="A46" s="70" t="n">
        <v>42</v>
      </c>
      <c r="B46" s="70" t="inlineStr">
        <is>
          <t>Inj. Pan 40 IV ×5</t>
        </is>
      </c>
      <c r="C46" s="70" t="n"/>
      <c r="D46" s="70" t="inlineStr">
        <is>
          <t>No.</t>
        </is>
      </c>
      <c r="E46" s="70" t="n">
        <v>5</v>
      </c>
      <c r="F46" s="71" t="n">
        <v>54.24</v>
      </c>
      <c r="G46" s="71">
        <f>E46*F46</f>
        <v/>
      </c>
      <c r="H46" s="71" t="n">
        <v>18</v>
      </c>
      <c r="I46" s="71">
        <f>E46*H46</f>
        <v/>
      </c>
      <c r="J46" s="70" t="inlineStr">
        <is>
          <t>M.R. MR000604</t>
        </is>
      </c>
    </row>
    <row r="47" ht="15" customHeight="1" s="66">
      <c r="A47" s="129" t="n">
        <v>43</v>
      </c>
      <c r="B47" s="129" t="inlineStr">
        <is>
          <t>Inj. Ondem (Ondansetron) ×6</t>
        </is>
      </c>
      <c r="C47" s="129" t="n"/>
      <c r="D47" s="129" t="inlineStr">
        <is>
          <t>No.</t>
        </is>
      </c>
      <c r="E47" s="129" t="n">
        <v>6</v>
      </c>
      <c r="F47" s="130" t="n">
        <v>146.25</v>
      </c>
      <c r="G47" s="130">
        <f>E47*F47</f>
        <v/>
      </c>
      <c r="H47" s="130" t="n">
        <v>109.52</v>
      </c>
      <c r="I47" s="130">
        <f>E47*H47</f>
        <v/>
      </c>
      <c r="J47" s="129" t="inlineStr">
        <is>
          <t>⚠ MRP OUTLIER — verify batch; S.S.B. S000670</t>
        </is>
      </c>
    </row>
    <row r="48" ht="15" customHeight="1" s="66">
      <c r="A48" s="70" t="n">
        <v>44</v>
      </c>
      <c r="B48" s="70" t="inlineStr">
        <is>
          <t>Inj. Cetil (Cefuroxime) ×5</t>
        </is>
      </c>
      <c r="C48" s="70" t="n"/>
      <c r="D48" s="70" t="inlineStr">
        <is>
          <t>No.</t>
        </is>
      </c>
      <c r="E48" s="70" t="n">
        <v>5</v>
      </c>
      <c r="F48" s="71" t="n">
        <v>146.9</v>
      </c>
      <c r="G48" s="71">
        <f>E48*F48</f>
        <v/>
      </c>
      <c r="H48" s="71" t="n">
        <v>90</v>
      </c>
      <c r="I48" s="71">
        <f>E48*H48</f>
        <v/>
      </c>
      <c r="J48" s="70" t="inlineStr">
        <is>
          <t>M.R. MR000659</t>
        </is>
      </c>
    </row>
    <row r="49" ht="15" customHeight="1" s="66">
      <c r="A49" s="125" t="n">
        <v>45</v>
      </c>
      <c r="B49" s="125" t="inlineStr">
        <is>
          <t>Cap + Mask ×4</t>
        </is>
      </c>
      <c r="C49" s="125" t="n"/>
      <c r="D49" s="125" t="inlineStr">
        <is>
          <t>No.</t>
        </is>
      </c>
      <c r="E49" s="125" t="n">
        <v>4</v>
      </c>
      <c r="F49" s="125" t="n">
        <v>25</v>
      </c>
      <c r="G49" s="125" t="n">
        <v>100</v>
      </c>
      <c r="H49" s="125" t="inlineStr">
        <is>
          <t>⚠</t>
        </is>
      </c>
      <c r="I49" s="125" t="inlineStr">
        <is>
          <t>⚠</t>
        </is>
      </c>
      <c r="J49" s="125" t="inlineStr">
        <is>
          <t>MRP filled; cost ⚠</t>
        </is>
      </c>
    </row>
    <row r="50" ht="15" customHeight="1" s="66">
      <c r="A50" s="70" t="n">
        <v>46</v>
      </c>
      <c r="B50" s="70" t="inlineStr">
        <is>
          <t>Syringe 10ml</t>
        </is>
      </c>
      <c r="C50" s="70" t="n"/>
      <c r="D50" s="70" t="inlineStr">
        <is>
          <t>No.</t>
        </is>
      </c>
      <c r="E50" s="70" t="n">
        <v>1</v>
      </c>
      <c r="F50" s="71" t="n">
        <v>13.3</v>
      </c>
      <c r="G50" s="71">
        <f>E50*F50</f>
        <v/>
      </c>
      <c r="H50" s="71" t="n">
        <v>5.3</v>
      </c>
      <c r="I50" s="71">
        <f>E50*H50</f>
        <v/>
      </c>
      <c r="J50" s="70" t="inlineStr">
        <is>
          <t>M.R. MR000753</t>
        </is>
      </c>
    </row>
    <row r="51" ht="15" customHeight="1" s="66">
      <c r="A51" s="70" t="n">
        <v>47</v>
      </c>
      <c r="B51" s="70" t="inlineStr">
        <is>
          <t>Syringe 5ml ×2</t>
        </is>
      </c>
      <c r="C51" s="70" t="n"/>
      <c r="D51" s="70" t="inlineStr">
        <is>
          <t>No.</t>
        </is>
      </c>
      <c r="E51" s="70" t="n">
        <v>2</v>
      </c>
      <c r="F51" s="71" t="n">
        <v>10.23</v>
      </c>
      <c r="G51" s="71">
        <f>E51*F51</f>
        <v/>
      </c>
      <c r="H51" s="71" t="n">
        <v>3.5</v>
      </c>
      <c r="I51" s="71">
        <f>E51*H51</f>
        <v/>
      </c>
      <c r="J51" s="70" t="inlineStr">
        <is>
          <t>M.R. MR000539</t>
        </is>
      </c>
    </row>
    <row r="52" ht="15" customHeight="1" s="66">
      <c r="A52" s="125" t="n">
        <v>48</v>
      </c>
      <c r="B52" s="125" t="inlineStr">
        <is>
          <t>CBG Blood Glucose Test</t>
        </is>
      </c>
      <c r="C52" s="125" t="n"/>
      <c r="D52" s="125" t="inlineStr">
        <is>
          <t>No.</t>
        </is>
      </c>
      <c r="E52" s="125" t="n">
        <v>1</v>
      </c>
      <c r="F52" s="125" t="n">
        <v>785</v>
      </c>
      <c r="G52" s="125" t="n">
        <v>785</v>
      </c>
      <c r="H52" s="125" t="inlineStr">
        <is>
          <t>⚠</t>
        </is>
      </c>
      <c r="I52" s="125" t="inlineStr">
        <is>
          <t>⚠</t>
        </is>
      </c>
      <c r="J52" s="125" t="inlineStr">
        <is>
          <t>MRP filled; cost ⚠</t>
        </is>
      </c>
    </row>
    <row r="53" ht="15" customHeight="1" s="66">
      <c r="A53" s="70" t="n">
        <v>49</v>
      </c>
      <c r="B53" s="70" t="inlineStr">
        <is>
          <t>NS 100ml ×4</t>
        </is>
      </c>
      <c r="C53" s="70" t="n"/>
      <c r="D53" s="70" t="inlineStr">
        <is>
          <t>No.</t>
        </is>
      </c>
      <c r="E53" s="70" t="n">
        <v>4</v>
      </c>
      <c r="F53" s="71" t="n">
        <v>21</v>
      </c>
      <c r="G53" s="71">
        <f>E53*F53</f>
        <v/>
      </c>
      <c r="H53" s="71" t="n">
        <v>11.43</v>
      </c>
      <c r="I53" s="71">
        <f>E53*H53</f>
        <v/>
      </c>
      <c r="J53" s="70" t="inlineStr">
        <is>
          <t>S.S.B. S000645</t>
        </is>
      </c>
    </row>
    <row r="54" ht="15" customHeight="1" s="66">
      <c r="A54" s="70" t="n">
        <v>50</v>
      </c>
      <c r="B54" s="70" t="inlineStr">
        <is>
          <t>Inj. PCM 100ml (Paracetamol IV) ×5</t>
        </is>
      </c>
      <c r="C54" s="70" t="n"/>
      <c r="D54" s="70" t="inlineStr">
        <is>
          <t>No.</t>
        </is>
      </c>
      <c r="E54" s="70" t="n">
        <v>5</v>
      </c>
      <c r="F54" s="71" t="n">
        <v>591.5</v>
      </c>
      <c r="G54" s="71">
        <f>E54*F54</f>
        <v/>
      </c>
      <c r="H54" s="71" t="n">
        <v>35</v>
      </c>
      <c r="I54" s="71">
        <f>E54*H54</f>
        <v/>
      </c>
      <c r="J54" s="70" t="inlineStr">
        <is>
          <t>M.R. MR000519</t>
        </is>
      </c>
    </row>
    <row r="55" ht="15" customHeight="1" s="66">
      <c r="A55" s="70" t="n">
        <v>51</v>
      </c>
      <c r="B55" s="70" t="inlineStr">
        <is>
          <t>Syringe 2ml</t>
        </is>
      </c>
      <c r="C55" s="70" t="n"/>
      <c r="D55" s="70" t="inlineStr">
        <is>
          <t>No.</t>
        </is>
      </c>
      <c r="E55" s="70" t="n">
        <v>1</v>
      </c>
      <c r="F55" s="71" t="n">
        <v>8.449999999999999</v>
      </c>
      <c r="G55" s="71">
        <f>E55*F55</f>
        <v/>
      </c>
      <c r="H55" s="71" t="n">
        <v>2.3</v>
      </c>
      <c r="I55" s="71">
        <f>E55*H55</f>
        <v/>
      </c>
      <c r="J55" s="70" t="inlineStr">
        <is>
          <t>M.R. MR000753</t>
        </is>
      </c>
    </row>
    <row r="56" ht="15" customHeight="1" s="66">
      <c r="A56" s="125" t="n">
        <v>52</v>
      </c>
      <c r="B56" s="125" t="inlineStr">
        <is>
          <t>Inj. Tramadol ×5</t>
        </is>
      </c>
      <c r="C56" s="125" t="n"/>
      <c r="D56" s="125" t="inlineStr">
        <is>
          <t>No.</t>
        </is>
      </c>
      <c r="E56" s="125" t="n">
        <v>5</v>
      </c>
      <c r="F56" s="125" t="n">
        <v>12.56</v>
      </c>
      <c r="G56" s="125" t="n">
        <v>62.8</v>
      </c>
      <c r="H56" s="125" t="n">
        <v>4.76</v>
      </c>
      <c r="I56" s="125" t="n">
        <v>23.8</v>
      </c>
      <c r="J56" s="125" t="inlineStr">
        <is>
          <t>Filled from stock/rate card</t>
        </is>
      </c>
    </row>
    <row r="57" ht="15" customHeight="1" s="66">
      <c r="A57" s="70" t="n">
        <v>53</v>
      </c>
      <c r="B57" s="70" t="inlineStr">
        <is>
          <t>Distilled Water ×2</t>
        </is>
      </c>
      <c r="C57" s="70" t="n"/>
      <c r="D57" s="70" t="inlineStr">
        <is>
          <t>No.</t>
        </is>
      </c>
      <c r="E57" s="70" t="n">
        <v>2</v>
      </c>
      <c r="F57" s="71" t="n">
        <v>3.24</v>
      </c>
      <c r="G57" s="71">
        <f>E57*F57</f>
        <v/>
      </c>
      <c r="H57" s="71" t="n">
        <v>2.51</v>
      </c>
      <c r="I57" s="71">
        <f>E57*H57</f>
        <v/>
      </c>
      <c r="J57" s="70" t="inlineStr">
        <is>
          <t>Vivekananda F/747</t>
        </is>
      </c>
    </row>
    <row r="58" ht="15" customHeight="1" s="66">
      <c r="A58" s="70" t="n">
        <v>54</v>
      </c>
      <c r="B58" s="70" t="inlineStr">
        <is>
          <t>IV Cannula 20G</t>
        </is>
      </c>
      <c r="C58" s="70" t="n"/>
      <c r="D58" s="70" t="inlineStr">
        <is>
          <t>No.</t>
        </is>
      </c>
      <c r="E58" s="70" t="n">
        <v>1</v>
      </c>
      <c r="F58" s="71" t="n">
        <v>198</v>
      </c>
      <c r="G58" s="71">
        <f>E58*F58</f>
        <v/>
      </c>
      <c r="H58" s="71" t="n">
        <v>7.14</v>
      </c>
      <c r="I58" s="71">
        <f>E58*H58</f>
        <v/>
      </c>
      <c r="J58" s="70" t="inlineStr">
        <is>
          <t>S.S.B. S000399</t>
        </is>
      </c>
    </row>
    <row r="59" ht="15" customHeight="1" s="66">
      <c r="A59" s="70" t="n">
        <v>55</v>
      </c>
      <c r="B59" s="70" t="inlineStr">
        <is>
          <t>IVF RL 500ml</t>
        </is>
      </c>
      <c r="C59" s="70" t="n"/>
      <c r="D59" s="70" t="inlineStr">
        <is>
          <t>No.</t>
        </is>
      </c>
      <c r="E59" s="70" t="n">
        <v>1</v>
      </c>
      <c r="F59" s="71" t="n">
        <v>59.31</v>
      </c>
      <c r="G59" s="71">
        <f>E59*F59</f>
        <v/>
      </c>
      <c r="H59" s="71" t="n">
        <v>18.57</v>
      </c>
      <c r="I59" s="71">
        <f>E59*H59</f>
        <v/>
      </c>
      <c r="J59" s="70" t="inlineStr">
        <is>
          <t>S.S.B. S000645</t>
        </is>
      </c>
    </row>
    <row r="60" ht="15" customHeight="1" s="66">
      <c r="A60" s="126" t="inlineStr">
        <is>
          <t xml:space="preserve">  Subtotal — Consumables / Medicines</t>
        </is>
      </c>
      <c r="G60" s="127">
        <f>SUM(G5:G59)</f>
        <v/>
      </c>
      <c r="H60" s="128" t="n"/>
      <c r="I60" s="127">
        <f>SUM(I5:I59)</f>
        <v/>
      </c>
      <c r="J60" s="128" t="n"/>
    </row>
    <row r="62" ht="15" customHeight="1" s="66">
      <c r="A62" s="124" t="inlineStr">
        <is>
          <t xml:space="preserve">  SECTION B — ROOM / BED CHARGES</t>
        </is>
      </c>
    </row>
    <row r="63" ht="15" customHeight="1" s="66">
      <c r="A63" s="70" t="n">
        <v>1</v>
      </c>
      <c r="B63" s="70" t="inlineStr">
        <is>
          <t>Bed / Room Charges</t>
        </is>
      </c>
      <c r="C63" s="70" t="inlineStr">
        <is>
          <t>Ward</t>
        </is>
      </c>
      <c r="D63" s="70" t="inlineStr">
        <is>
          <t>Day</t>
        </is>
      </c>
      <c r="E63" s="70" t="n">
        <v>3</v>
      </c>
      <c r="F63" s="71" t="n">
        <v>1000</v>
      </c>
      <c r="G63" s="71">
        <f>E63*F63</f>
        <v/>
      </c>
      <c r="H63" s="70" t="inlineStr">
        <is>
          <t>—</t>
        </is>
      </c>
      <c r="I63" s="70" t="inlineStr">
        <is>
          <t>—</t>
        </is>
      </c>
      <c r="J63" s="70" t="inlineStr">
        <is>
          <t>Per sheet</t>
        </is>
      </c>
    </row>
    <row r="65" ht="15" customHeight="1" s="66">
      <c r="A65" s="124" t="inlineStr">
        <is>
          <t xml:space="preserve">  SECTION C — OT / PROCEDURE CHARGES</t>
        </is>
      </c>
    </row>
    <row r="66" ht="15" customHeight="1" s="66">
      <c r="A66" s="70" t="n">
        <v>1</v>
      </c>
      <c r="B66" s="70" t="inlineStr">
        <is>
          <t>OT / Procedure Charges</t>
        </is>
      </c>
      <c r="C66" s="70" t="inlineStr">
        <is>
          <t>Per procedure</t>
        </is>
      </c>
      <c r="D66" s="70" t="inlineStr">
        <is>
          <t>—</t>
        </is>
      </c>
      <c r="E66" s="70" t="n">
        <v>1</v>
      </c>
      <c r="F66" s="71" t="n">
        <v>1500</v>
      </c>
      <c r="G66" s="71">
        <f>E66*F66</f>
        <v/>
      </c>
      <c r="H66" s="70" t="inlineStr">
        <is>
          <t>—</t>
        </is>
      </c>
      <c r="I66" s="70" t="inlineStr">
        <is>
          <t>—</t>
        </is>
      </c>
      <c r="J66" s="70" t="inlineStr">
        <is>
          <t>Per sheet</t>
        </is>
      </c>
    </row>
    <row r="68" ht="15" customHeight="1" s="66">
      <c r="A68" s="72" t="inlineStr">
        <is>
          <t>GRAND TOTAL PATIENT BILL</t>
        </is>
      </c>
      <c r="G68" s="73">
        <f>G60+SUM(G63:G63)+SUM(G66:G66)</f>
        <v/>
      </c>
      <c r="H68" s="73">
        <f>I60</f>
        <v/>
      </c>
      <c r="I68" s="73">
        <f>G68-H68</f>
        <v/>
      </c>
      <c r="J68" s="72" t="inlineStr">
        <is>
          <t>Bill | Cost | Margin</t>
        </is>
      </c>
    </row>
  </sheetData>
  <mergeCells count="6">
    <mergeCell ref="A1:J1"/>
    <mergeCell ref="A60:F60"/>
    <mergeCell ref="A68:F68"/>
    <mergeCell ref="A62:J62"/>
    <mergeCell ref="A3:J3"/>
    <mergeCell ref="A65:J6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J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Varsha Pradhan</t>
        </is>
      </c>
      <c r="E2" s="123" t="inlineStr">
        <is>
          <t>Doctor: Dr. R. Mahato</t>
        </is>
      </c>
      <c r="G2" s="123" t="inlineStr">
        <is>
          <t>Date: 30/06/2026</t>
        </is>
      </c>
      <c r="I2" s="123" t="inlineStr">
        <is>
          <t>Proc: Ward — Mediclaim Patient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70" t="n">
        <v>1</v>
      </c>
      <c r="B5" s="70" t="inlineStr">
        <is>
          <t>IV Cannula 20G</t>
        </is>
      </c>
      <c r="C5" s="70" t="n"/>
      <c r="D5" s="70" t="inlineStr">
        <is>
          <t>No.</t>
        </is>
      </c>
      <c r="E5" s="70" t="n">
        <v>1</v>
      </c>
      <c r="F5" s="71" t="n">
        <v>198</v>
      </c>
      <c r="G5" s="71">
        <f>E5*F5</f>
        <v/>
      </c>
      <c r="H5" s="71" t="n">
        <v>7.14</v>
      </c>
      <c r="I5" s="71">
        <f>E5*H5</f>
        <v/>
      </c>
      <c r="J5" s="70" t="inlineStr">
        <is>
          <t>S.S.B. S000399</t>
        </is>
      </c>
    </row>
    <row r="6" ht="15" customHeight="1" s="66">
      <c r="A6" s="70" t="n">
        <v>2</v>
      </c>
      <c r="B6" s="70" t="inlineStr">
        <is>
          <t>Easyfix</t>
        </is>
      </c>
      <c r="C6" s="70" t="n"/>
      <c r="D6" s="70" t="inlineStr">
        <is>
          <t>No.</t>
        </is>
      </c>
      <c r="E6" s="70" t="n">
        <v>1</v>
      </c>
      <c r="F6" s="71" t="n">
        <v>80.59999999999999</v>
      </c>
      <c r="G6" s="71">
        <f>E6*F6</f>
        <v/>
      </c>
      <c r="H6" s="71" t="n">
        <v>42.86</v>
      </c>
      <c r="I6" s="71">
        <f>E6*H6</f>
        <v/>
      </c>
      <c r="J6" s="70" t="inlineStr">
        <is>
          <t>S.S.B. S000293</t>
        </is>
      </c>
    </row>
    <row r="7" ht="15" customHeight="1" s="66">
      <c r="A7" s="129" t="n">
        <v>3</v>
      </c>
      <c r="B7" s="129" t="inlineStr">
        <is>
          <t>Inj. Ondem (Ondansetron) ×5</t>
        </is>
      </c>
      <c r="C7" s="129" t="n"/>
      <c r="D7" s="129" t="inlineStr">
        <is>
          <t>No.</t>
        </is>
      </c>
      <c r="E7" s="129" t="n">
        <v>5</v>
      </c>
      <c r="F7" s="130" t="n">
        <v>146.25</v>
      </c>
      <c r="G7" s="130">
        <f>E7*F7</f>
        <v/>
      </c>
      <c r="H7" s="130" t="n">
        <v>109.52</v>
      </c>
      <c r="I7" s="130">
        <f>E7*H7</f>
        <v/>
      </c>
      <c r="J7" s="129" t="inlineStr">
        <is>
          <t>⚠ MRP OUTLIER — verify batch; S.S.B. S000670</t>
        </is>
      </c>
    </row>
    <row r="8" ht="15" customHeight="1" s="66">
      <c r="A8" s="70" t="n">
        <v>4</v>
      </c>
      <c r="B8" s="70" t="inlineStr">
        <is>
          <t>Inj. Xone 1g (Ceftriaxone) ×4</t>
        </is>
      </c>
      <c r="C8" s="70" t="n"/>
      <c r="D8" s="70" t="inlineStr">
        <is>
          <t>No.</t>
        </is>
      </c>
      <c r="E8" s="70" t="n">
        <v>4</v>
      </c>
      <c r="F8" s="71" t="n">
        <v>66.64</v>
      </c>
      <c r="G8" s="71">
        <f>E8*F8</f>
        <v/>
      </c>
      <c r="H8" s="71" t="n">
        <v>25.71</v>
      </c>
      <c r="I8" s="71">
        <f>E8*H8</f>
        <v/>
      </c>
      <c r="J8" s="70" t="inlineStr">
        <is>
          <t>S.S.B. S000135</t>
        </is>
      </c>
    </row>
    <row r="9" ht="15" customHeight="1" s="66">
      <c r="A9" s="70" t="n">
        <v>5</v>
      </c>
      <c r="B9" s="70" t="inlineStr">
        <is>
          <t>Syringe 10ml</t>
        </is>
      </c>
      <c r="C9" s="70" t="n"/>
      <c r="D9" s="70" t="inlineStr">
        <is>
          <t>No.</t>
        </is>
      </c>
      <c r="E9" s="70" t="n">
        <v>1</v>
      </c>
      <c r="F9" s="71" t="n">
        <v>13.3</v>
      </c>
      <c r="G9" s="71">
        <f>E9*F9</f>
        <v/>
      </c>
      <c r="H9" s="71" t="n">
        <v>5.3</v>
      </c>
      <c r="I9" s="71">
        <f>E9*H9</f>
        <v/>
      </c>
      <c r="J9" s="70" t="inlineStr">
        <is>
          <t>M.R. MR000753</t>
        </is>
      </c>
    </row>
    <row r="10" ht="15" customHeight="1" s="66">
      <c r="A10" s="70" t="n">
        <v>6</v>
      </c>
      <c r="B10" s="70" t="inlineStr">
        <is>
          <t>Syringe 5ml</t>
        </is>
      </c>
      <c r="C10" s="70" t="n"/>
      <c r="D10" s="70" t="inlineStr">
        <is>
          <t>No.</t>
        </is>
      </c>
      <c r="E10" s="70" t="n">
        <v>1</v>
      </c>
      <c r="F10" s="71" t="n">
        <v>10.23</v>
      </c>
      <c r="G10" s="71">
        <f>E10*F10</f>
        <v/>
      </c>
      <c r="H10" s="71" t="n">
        <v>3.5</v>
      </c>
      <c r="I10" s="71">
        <f>E10*H10</f>
        <v/>
      </c>
      <c r="J10" s="70" t="inlineStr">
        <is>
          <t>M.R. MR000539</t>
        </is>
      </c>
    </row>
    <row r="11" ht="15" customHeight="1" s="66">
      <c r="A11" s="125" t="n">
        <v>7</v>
      </c>
      <c r="B11" s="125" t="inlineStr">
        <is>
          <t>Inj. PCM IV</t>
        </is>
      </c>
      <c r="C11" s="125" t="n"/>
      <c r="D11" s="125" t="inlineStr">
        <is>
          <t>No.</t>
        </is>
      </c>
      <c r="E11" s="125" t="n">
        <v>1</v>
      </c>
      <c r="F11" s="125" t="n">
        <v>591.3</v>
      </c>
      <c r="G11" s="125" t="n">
        <v>591.3</v>
      </c>
      <c r="H11" s="125" t="n">
        <v>33.33</v>
      </c>
      <c r="I11" s="125" t="n">
        <v>33.33</v>
      </c>
      <c r="J11" s="125" t="inlineStr">
        <is>
          <t>Filled from stock/rate card</t>
        </is>
      </c>
    </row>
    <row r="12" ht="15" customHeight="1" s="66">
      <c r="A12" s="70" t="n">
        <v>8</v>
      </c>
      <c r="B12" s="70" t="inlineStr">
        <is>
          <t>Inj. Pan 40 IV ×2</t>
        </is>
      </c>
      <c r="C12" s="70" t="n"/>
      <c r="D12" s="70" t="inlineStr">
        <is>
          <t>No.</t>
        </is>
      </c>
      <c r="E12" s="70" t="n">
        <v>2</v>
      </c>
      <c r="F12" s="71" t="n">
        <v>54.24</v>
      </c>
      <c r="G12" s="71">
        <f>E12*F12</f>
        <v/>
      </c>
      <c r="H12" s="71" t="n">
        <v>18</v>
      </c>
      <c r="I12" s="71">
        <f>E12*H12</f>
        <v/>
      </c>
      <c r="J12" s="70" t="inlineStr">
        <is>
          <t>M.R. MR000604</t>
        </is>
      </c>
    </row>
    <row r="13" ht="15" customHeight="1" s="66">
      <c r="A13" s="70" t="n">
        <v>9</v>
      </c>
      <c r="B13" s="70" t="inlineStr">
        <is>
          <t>IV Set (Sangoflex)</t>
        </is>
      </c>
      <c r="C13" s="70" t="n"/>
      <c r="D13" s="70" t="inlineStr">
        <is>
          <t>No.</t>
        </is>
      </c>
      <c r="E13" s="70" t="n">
        <v>1</v>
      </c>
      <c r="F13" s="71" t="n">
        <v>201</v>
      </c>
      <c r="G13" s="71">
        <f>E13*F13</f>
        <v/>
      </c>
      <c r="H13" s="71" t="n">
        <v>11.9</v>
      </c>
      <c r="I13" s="71">
        <f>E13*H13</f>
        <v/>
      </c>
      <c r="J13" s="70" t="inlineStr">
        <is>
          <t>S.S.B. S000400</t>
        </is>
      </c>
    </row>
    <row r="14" ht="15" customHeight="1" s="66">
      <c r="A14" s="70" t="n">
        <v>10</v>
      </c>
      <c r="B14" s="70" t="inlineStr">
        <is>
          <t>IVF RL 500ml ×2</t>
        </is>
      </c>
      <c r="C14" s="70" t="n"/>
      <c r="D14" s="70" t="inlineStr">
        <is>
          <t>No.</t>
        </is>
      </c>
      <c r="E14" s="70" t="n">
        <v>2</v>
      </c>
      <c r="F14" s="71" t="n">
        <v>59.31</v>
      </c>
      <c r="G14" s="71">
        <f>E14*F14</f>
        <v/>
      </c>
      <c r="H14" s="71" t="n">
        <v>18.57</v>
      </c>
      <c r="I14" s="71">
        <f>E14*H14</f>
        <v/>
      </c>
      <c r="J14" s="70" t="inlineStr">
        <is>
          <t>S.S.B. S000645</t>
        </is>
      </c>
    </row>
    <row r="15" ht="15" customHeight="1" s="66">
      <c r="A15" s="70" t="n">
        <v>11</v>
      </c>
      <c r="B15" s="70" t="inlineStr">
        <is>
          <t>NS 500ml ×2</t>
        </is>
      </c>
      <c r="C15" s="70" t="n"/>
      <c r="D15" s="70" t="inlineStr">
        <is>
          <t>No.</t>
        </is>
      </c>
      <c r="E15" s="70" t="n">
        <v>2</v>
      </c>
      <c r="F15" s="71" t="n">
        <v>36.6</v>
      </c>
      <c r="G15" s="71">
        <f>E15*F15</f>
        <v/>
      </c>
      <c r="H15" s="71" t="n">
        <v>17.62</v>
      </c>
      <c r="I15" s="71">
        <f>E15*H15</f>
        <v/>
      </c>
      <c r="J15" s="70" t="inlineStr">
        <is>
          <t>S.S.B. S000645</t>
        </is>
      </c>
    </row>
    <row r="16" ht="15" customHeight="1" s="66">
      <c r="A16" s="125" t="n">
        <v>12</v>
      </c>
      <c r="B16" s="125" t="inlineStr">
        <is>
          <t>Needle 2cc</t>
        </is>
      </c>
      <c r="C16" s="125" t="n"/>
      <c r="D16" s="125" t="inlineStr">
        <is>
          <t>No.</t>
        </is>
      </c>
      <c r="E16" s="125" t="n">
        <v>1</v>
      </c>
      <c r="F16" s="125" t="n">
        <v>6.04</v>
      </c>
      <c r="G16" s="125" t="n">
        <v>6.04</v>
      </c>
      <c r="H16" s="125" t="n">
        <v>1.9</v>
      </c>
      <c r="I16" s="125" t="n">
        <v>1.9</v>
      </c>
      <c r="J16" s="125" t="inlineStr">
        <is>
          <t>Filled from stock/rate card</t>
        </is>
      </c>
    </row>
    <row r="17" ht="15" customHeight="1" s="66">
      <c r="A17" s="126" t="inlineStr">
        <is>
          <t xml:space="preserve">  Subtotal — Consumables / Medicines</t>
        </is>
      </c>
      <c r="G17" s="127">
        <f>SUM(G5:G16)</f>
        <v/>
      </c>
      <c r="H17" s="128" t="n"/>
      <c r="I17" s="127">
        <f>SUM(I5:I16)</f>
        <v/>
      </c>
      <c r="J17" s="128" t="n"/>
    </row>
    <row r="19" ht="15" customHeight="1" s="66">
      <c r="A19" s="124" t="inlineStr">
        <is>
          <t xml:space="preserve">  SECTION B — ROOM / BED CHARGES</t>
        </is>
      </c>
    </row>
    <row r="20" ht="15" customHeight="1" s="66">
      <c r="A20" s="70" t="n">
        <v>1</v>
      </c>
      <c r="B20" s="70" t="inlineStr">
        <is>
          <t>Bed / Room Charges</t>
        </is>
      </c>
      <c r="C20" s="70" t="inlineStr">
        <is>
          <t>Ward</t>
        </is>
      </c>
      <c r="D20" s="70" t="inlineStr">
        <is>
          <t>Day</t>
        </is>
      </c>
      <c r="E20" s="70" t="n">
        <v>1</v>
      </c>
      <c r="F20" s="71" t="n">
        <v>1000</v>
      </c>
      <c r="G20" s="71">
        <f>E20*F20</f>
        <v/>
      </c>
      <c r="H20" s="70" t="inlineStr">
        <is>
          <t>—</t>
        </is>
      </c>
      <c r="I20" s="70" t="inlineStr">
        <is>
          <t>—</t>
        </is>
      </c>
      <c r="J20" s="70" t="inlineStr">
        <is>
          <t>Per sheet</t>
        </is>
      </c>
    </row>
    <row r="22" ht="15" customHeight="1" s="66">
      <c r="A22" s="124" t="inlineStr">
        <is>
          <t xml:space="preserve">  SECTION C — OT / PROCEDURE CHARGES</t>
        </is>
      </c>
    </row>
    <row r="23" ht="15" customHeight="1" s="66">
      <c r="A23" s="70" t="n">
        <v>1</v>
      </c>
      <c r="B23" s="70" t="inlineStr">
        <is>
          <t>OT / Procedure Charges</t>
        </is>
      </c>
      <c r="C23" s="70" t="inlineStr">
        <is>
          <t>Per procedure</t>
        </is>
      </c>
      <c r="D23" s="70" t="inlineStr">
        <is>
          <t>—</t>
        </is>
      </c>
      <c r="E23" s="70" t="n">
        <v>1</v>
      </c>
      <c r="F23" s="71" t="n">
        <v>1500</v>
      </c>
      <c r="G23" s="71">
        <f>E23*F23</f>
        <v/>
      </c>
      <c r="H23" s="70" t="inlineStr">
        <is>
          <t>—</t>
        </is>
      </c>
      <c r="I23" s="70" t="inlineStr">
        <is>
          <t>—</t>
        </is>
      </c>
      <c r="J23" s="70" t="inlineStr">
        <is>
          <t>Per sheet</t>
        </is>
      </c>
    </row>
    <row r="25" ht="15" customHeight="1" s="66">
      <c r="A25" s="72" t="inlineStr">
        <is>
          <t>GRAND TOTAL PATIENT BILL</t>
        </is>
      </c>
      <c r="G25" s="73">
        <f>G17+SUM(G20:G20)+SUM(G23:G23)</f>
        <v/>
      </c>
      <c r="H25" s="73">
        <f>I17</f>
        <v/>
      </c>
      <c r="I25" s="73">
        <f>G25-H25</f>
        <v/>
      </c>
      <c r="J25" s="72" t="inlineStr">
        <is>
          <t>Bill | Cost | Margin</t>
        </is>
      </c>
    </row>
  </sheetData>
  <mergeCells count="6">
    <mergeCell ref="A1:J1"/>
    <mergeCell ref="A22:J22"/>
    <mergeCell ref="A3:J3"/>
    <mergeCell ref="A19:J19"/>
    <mergeCell ref="A17:F17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J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Sagar Gupta</t>
        </is>
      </c>
      <c r="E2" s="123" t="inlineStr">
        <is>
          <t>Doctor: Prof. Dr. S. Gupta</t>
        </is>
      </c>
      <c r="G2" s="123" t="inlineStr">
        <is>
          <t>Date: 28/06/2026</t>
        </is>
      </c>
      <c r="I2" s="123" t="inlineStr">
        <is>
          <t>Proc: DJ Stent Removal — LA/Self — 10 min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125" t="n">
        <v>1</v>
      </c>
      <c r="B5" s="125" t="inlineStr">
        <is>
          <t>Needles ×2</t>
        </is>
      </c>
      <c r="C5" s="125" t="n"/>
      <c r="D5" s="125" t="inlineStr">
        <is>
          <t>No.</t>
        </is>
      </c>
      <c r="E5" s="125" t="n">
        <v>2</v>
      </c>
      <c r="F5" s="125" t="n">
        <v>6.04</v>
      </c>
      <c r="G5" s="125" t="n">
        <v>12.08</v>
      </c>
      <c r="H5" s="125" t="n">
        <v>1.9</v>
      </c>
      <c r="I5" s="125" t="n">
        <v>3.8</v>
      </c>
      <c r="J5" s="125" t="inlineStr">
        <is>
          <t>Filled from stock/rate card</t>
        </is>
      </c>
    </row>
    <row r="6" ht="15" customHeight="1" s="66">
      <c r="A6" s="125" t="n">
        <v>2</v>
      </c>
      <c r="B6" s="125" t="inlineStr">
        <is>
          <t>Mask ×2</t>
        </is>
      </c>
      <c r="C6" s="125" t="n"/>
      <c r="D6" s="125" t="inlineStr">
        <is>
          <t>No.</t>
        </is>
      </c>
      <c r="E6" s="125" t="n">
        <v>2</v>
      </c>
      <c r="F6" s="125" t="n">
        <v>25</v>
      </c>
      <c r="G6" s="125" t="n">
        <v>50</v>
      </c>
      <c r="H6" s="125" t="inlineStr">
        <is>
          <t>⚠</t>
        </is>
      </c>
      <c r="I6" s="125" t="inlineStr">
        <is>
          <t>⚠</t>
        </is>
      </c>
      <c r="J6" s="125" t="inlineStr">
        <is>
          <t>Filled from stock/rate card</t>
        </is>
      </c>
    </row>
    <row r="7" ht="15" customHeight="1" s="66">
      <c r="A7" s="70" t="n">
        <v>3</v>
      </c>
      <c r="B7" s="70" t="inlineStr">
        <is>
          <t>OT Mop / Abd. Swab ×10</t>
        </is>
      </c>
      <c r="C7" s="70" t="n"/>
      <c r="D7" s="70" t="inlineStr">
        <is>
          <t>No.</t>
        </is>
      </c>
      <c r="E7" s="70" t="n">
        <v>10</v>
      </c>
      <c r="F7" s="71" t="n">
        <v>95</v>
      </c>
      <c r="G7" s="71">
        <f>E7*F7</f>
        <v/>
      </c>
      <c r="H7" s="71" t="n">
        <v>40.15</v>
      </c>
      <c r="I7" s="71">
        <f>E7*H7</f>
        <v/>
      </c>
      <c r="J7" s="70" t="inlineStr">
        <is>
          <t>B.P. 349</t>
        </is>
      </c>
    </row>
    <row r="8" ht="15" customHeight="1" s="66">
      <c r="A8" s="125" t="n">
        <v>4</v>
      </c>
      <c r="B8" s="125" t="inlineStr">
        <is>
          <t>Gauze Pieces ×10</t>
        </is>
      </c>
      <c r="C8" s="125" t="n"/>
      <c r="D8" s="125" t="inlineStr">
        <is>
          <t>No.</t>
        </is>
      </c>
      <c r="E8" s="125" t="n">
        <v>10</v>
      </c>
      <c r="F8" s="125" t="n">
        <v>14</v>
      </c>
      <c r="G8" s="125" t="n">
        <v>140</v>
      </c>
      <c r="H8" s="125" t="n">
        <v>5.46</v>
      </c>
      <c r="I8" s="125" t="n">
        <v>54.6</v>
      </c>
      <c r="J8" s="125" t="inlineStr">
        <is>
          <t>Filled from stock/rate card</t>
        </is>
      </c>
    </row>
    <row r="9" ht="15" customHeight="1" s="66">
      <c r="A9" s="70" t="n">
        <v>5</v>
      </c>
      <c r="B9" s="70" t="inlineStr">
        <is>
          <t>Handrub / Spirit 100ml</t>
        </is>
      </c>
      <c r="C9" s="70" t="n"/>
      <c r="D9" s="70" t="inlineStr">
        <is>
          <t>No.</t>
        </is>
      </c>
      <c r="E9" s="70" t="n">
        <v>1</v>
      </c>
      <c r="F9" s="71" t="n">
        <v>160</v>
      </c>
      <c r="G9" s="71">
        <f>E9*F9</f>
        <v/>
      </c>
      <c r="H9" s="71" t="n">
        <v>47.62</v>
      </c>
      <c r="I9" s="71">
        <f>E9*H9</f>
        <v/>
      </c>
      <c r="J9" s="70" t="inlineStr">
        <is>
          <t>S.S.B. S000645</t>
        </is>
      </c>
    </row>
    <row r="10" ht="15" customHeight="1" s="66">
      <c r="A10" s="70" t="n">
        <v>6</v>
      </c>
      <c r="B10" s="70" t="inlineStr">
        <is>
          <t>Gloves 7.0 ×2</t>
        </is>
      </c>
      <c r="C10" s="70" t="n"/>
      <c r="D10" s="70" t="inlineStr">
        <is>
          <t>No.</t>
        </is>
      </c>
      <c r="E10" s="70" t="n">
        <v>2</v>
      </c>
      <c r="F10" s="71" t="n">
        <v>91</v>
      </c>
      <c r="G10" s="71">
        <f>E10*F10</f>
        <v/>
      </c>
      <c r="H10" s="71" t="n">
        <v>19.06</v>
      </c>
      <c r="I10" s="71">
        <f>E10*H10</f>
        <v/>
      </c>
      <c r="J10" s="70" t="inlineStr">
        <is>
          <t>Vivekananda F/747</t>
        </is>
      </c>
    </row>
    <row r="11" ht="15" customHeight="1" s="66">
      <c r="A11" s="70" t="n">
        <v>7</v>
      </c>
      <c r="B11" s="70" t="inlineStr">
        <is>
          <t>NS 1000ml</t>
        </is>
      </c>
      <c r="C11" s="70" t="n"/>
      <c r="D11" s="70" t="inlineStr">
        <is>
          <t>No.</t>
        </is>
      </c>
      <c r="E11" s="70" t="n">
        <v>1</v>
      </c>
      <c r="F11" s="71" t="n">
        <v>61.17</v>
      </c>
      <c r="G11" s="71">
        <f>E11*F11</f>
        <v/>
      </c>
      <c r="H11" s="71" t="n">
        <v>30.48</v>
      </c>
      <c r="I11" s="71">
        <f>E11*H11</f>
        <v/>
      </c>
      <c r="J11" s="70" t="inlineStr">
        <is>
          <t>S.S.B. S000645</t>
        </is>
      </c>
    </row>
    <row r="12" ht="15" customHeight="1" s="66">
      <c r="A12" s="70" t="n">
        <v>8</v>
      </c>
      <c r="B12" s="70" t="inlineStr">
        <is>
          <t>Betadine 10% Lotion 50ml</t>
        </is>
      </c>
      <c r="C12" s="70" t="n"/>
      <c r="D12" s="70" t="inlineStr">
        <is>
          <t>No.</t>
        </is>
      </c>
      <c r="E12" s="70" t="n">
        <v>1</v>
      </c>
      <c r="F12" s="71" t="n">
        <v>151.33</v>
      </c>
      <c r="G12" s="71">
        <f>E12*F12</f>
        <v/>
      </c>
      <c r="H12" s="71" t="n">
        <v>85.70999999999999</v>
      </c>
      <c r="I12" s="71">
        <f>E12*H12</f>
        <v/>
      </c>
      <c r="J12" s="70" t="inlineStr">
        <is>
          <t>S.S.B. S000645</t>
        </is>
      </c>
    </row>
    <row r="13" ht="15" customHeight="1" s="66">
      <c r="A13" s="126" t="inlineStr">
        <is>
          <t xml:space="preserve">  Subtotal — Consumables / Medicines</t>
        </is>
      </c>
      <c r="G13" s="127">
        <f>SUM(G5:G12)</f>
        <v/>
      </c>
      <c r="H13" s="128" t="n"/>
      <c r="I13" s="127">
        <f>SUM(I5:I12)</f>
        <v/>
      </c>
      <c r="J13" s="128" t="n"/>
    </row>
    <row r="15" ht="15" customHeight="1" s="66">
      <c r="A15" s="124" t="inlineStr">
        <is>
          <t xml:space="preserve">  SECTION B — ROOM / BED CHARGES</t>
        </is>
      </c>
    </row>
    <row r="16" ht="15" customHeight="1" s="66">
      <c r="A16" s="70" t="n">
        <v>1</v>
      </c>
      <c r="B16" s="70" t="inlineStr">
        <is>
          <t>Bed / Room Charges</t>
        </is>
      </c>
      <c r="C16" s="70" t="inlineStr">
        <is>
          <t>Ward</t>
        </is>
      </c>
      <c r="D16" s="70" t="inlineStr">
        <is>
          <t>Day</t>
        </is>
      </c>
      <c r="E16" s="70" t="n">
        <v>1</v>
      </c>
      <c r="F16" s="71" t="n">
        <v>1000</v>
      </c>
      <c r="G16" s="71">
        <f>E16*F16</f>
        <v/>
      </c>
      <c r="H16" s="70" t="inlineStr">
        <is>
          <t>—</t>
        </is>
      </c>
      <c r="I16" s="70" t="inlineStr">
        <is>
          <t>—</t>
        </is>
      </c>
      <c r="J16" s="70" t="inlineStr">
        <is>
          <t>Per sheet</t>
        </is>
      </c>
    </row>
    <row r="18" ht="15" customHeight="1" s="66">
      <c r="A18" s="124" t="inlineStr">
        <is>
          <t xml:space="preserve">  SECTION C — OT / PROCEDURE CHARGES</t>
        </is>
      </c>
    </row>
    <row r="19" ht="15" customHeight="1" s="66">
      <c r="A19" s="70" t="n">
        <v>1</v>
      </c>
      <c r="B19" s="70" t="inlineStr">
        <is>
          <t>OT / Procedure Charges</t>
        </is>
      </c>
      <c r="C19" s="70" t="inlineStr">
        <is>
          <t>Per procedure</t>
        </is>
      </c>
      <c r="D19" s="70" t="inlineStr">
        <is>
          <t>—</t>
        </is>
      </c>
      <c r="E19" s="70" t="n">
        <v>1</v>
      </c>
      <c r="F19" s="71" t="n">
        <v>1500</v>
      </c>
      <c r="G19" s="71">
        <f>E19*F19</f>
        <v/>
      </c>
      <c r="H19" s="70" t="inlineStr">
        <is>
          <t>—</t>
        </is>
      </c>
      <c r="I19" s="70" t="inlineStr">
        <is>
          <t>—</t>
        </is>
      </c>
      <c r="J19" s="70" t="inlineStr">
        <is>
          <t>Per sheet</t>
        </is>
      </c>
    </row>
    <row r="21" ht="15" customHeight="1" s="66">
      <c r="A21" s="72" t="inlineStr">
        <is>
          <t>GRAND TOTAL PATIENT BILL</t>
        </is>
      </c>
      <c r="G21" s="73">
        <f>G13+SUM(G16:G16)+SUM(G19:G19)</f>
        <v/>
      </c>
      <c r="H21" s="73">
        <f>I13</f>
        <v/>
      </c>
      <c r="I21" s="73">
        <f>G21-H21</f>
        <v/>
      </c>
      <c r="J21" s="72" t="inlineStr">
        <is>
          <t>Bill | Cost | Margin</t>
        </is>
      </c>
    </row>
  </sheetData>
  <mergeCells count="6">
    <mergeCell ref="A1:J1"/>
    <mergeCell ref="A13:F13"/>
    <mergeCell ref="A18:J18"/>
    <mergeCell ref="A3:J3"/>
    <mergeCell ref="A15:J15"/>
    <mergeCell ref="A21:F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Sapna</t>
        </is>
      </c>
      <c r="E2" s="123" t="inlineStr">
        <is>
          <t>Doctor: Prof. Dr. S. Gupta</t>
        </is>
      </c>
      <c r="G2" s="123" t="inlineStr">
        <is>
          <t>Date: 25/06/2026</t>
        </is>
      </c>
      <c r="I2" s="123" t="inlineStr">
        <is>
          <t>Proc: DJ Stent Removal — LA/Self — 10 min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125" t="n">
        <v>1</v>
      </c>
      <c r="B5" s="125" t="inlineStr">
        <is>
          <t>Cap + Mask ×2</t>
        </is>
      </c>
      <c r="C5" s="125" t="n"/>
      <c r="D5" s="125" t="inlineStr">
        <is>
          <t>No.</t>
        </is>
      </c>
      <c r="E5" s="125" t="n">
        <v>2</v>
      </c>
      <c r="F5" s="125" t="n">
        <v>25</v>
      </c>
      <c r="G5" s="125" t="n">
        <v>50</v>
      </c>
      <c r="H5" s="125" t="inlineStr">
        <is>
          <t>⚠</t>
        </is>
      </c>
      <c r="I5" s="125" t="inlineStr">
        <is>
          <t>⚠</t>
        </is>
      </c>
      <c r="J5" s="125" t="inlineStr">
        <is>
          <t>MRP filled; cost ⚠</t>
        </is>
      </c>
    </row>
    <row r="6" ht="15" customHeight="1" s="66">
      <c r="A6" s="125" t="n">
        <v>2</v>
      </c>
      <c r="B6" s="125" t="inlineStr">
        <is>
          <t>Gauze Pieces ×10</t>
        </is>
      </c>
      <c r="C6" s="125" t="n"/>
      <c r="D6" s="125" t="inlineStr">
        <is>
          <t>No.</t>
        </is>
      </c>
      <c r="E6" s="125" t="n">
        <v>10</v>
      </c>
      <c r="F6" s="125" t="n">
        <v>14</v>
      </c>
      <c r="G6" s="125" t="n">
        <v>140</v>
      </c>
      <c r="H6" s="125" t="n">
        <v>5.46</v>
      </c>
      <c r="I6" s="125" t="n">
        <v>54.6</v>
      </c>
      <c r="J6" s="125" t="inlineStr">
        <is>
          <t>Filled from stock/rate card</t>
        </is>
      </c>
    </row>
    <row r="7" ht="15" customHeight="1" s="66">
      <c r="A7" s="70" t="n">
        <v>3</v>
      </c>
      <c r="B7" s="70" t="inlineStr">
        <is>
          <t>Handrub / Spirit 100ml</t>
        </is>
      </c>
      <c r="C7" s="70" t="n"/>
      <c r="D7" s="70" t="inlineStr">
        <is>
          <t>No.</t>
        </is>
      </c>
      <c r="E7" s="70" t="n">
        <v>1</v>
      </c>
      <c r="F7" s="71" t="n">
        <v>160</v>
      </c>
      <c r="G7" s="71">
        <f>E7*F7</f>
        <v/>
      </c>
      <c r="H7" s="71" t="n">
        <v>47.62</v>
      </c>
      <c r="I7" s="71">
        <f>E7*H7</f>
        <v/>
      </c>
      <c r="J7" s="70" t="inlineStr">
        <is>
          <t>S.S.B. S000645</t>
        </is>
      </c>
    </row>
    <row r="8" ht="15" customHeight="1" s="66">
      <c r="A8" s="125" t="n">
        <v>4</v>
      </c>
      <c r="B8" s="125" t="inlineStr">
        <is>
          <t>2% Xylocaine Jelly</t>
        </is>
      </c>
      <c r="C8" s="125" t="n"/>
      <c r="D8" s="125" t="inlineStr">
        <is>
          <t>No.</t>
        </is>
      </c>
      <c r="E8" s="125" t="n">
        <v>1</v>
      </c>
      <c r="F8" s="125" t="n">
        <v>34.58</v>
      </c>
      <c r="G8" s="125" t="n">
        <v>34.58</v>
      </c>
      <c r="H8" s="125" t="n">
        <v>27</v>
      </c>
      <c r="I8" s="125" t="n">
        <v>27</v>
      </c>
      <c r="J8" s="125" t="inlineStr">
        <is>
          <t>Filled from stock/rate card</t>
        </is>
      </c>
    </row>
    <row r="9" ht="15" customHeight="1" s="66">
      <c r="A9" s="70" t="n">
        <v>5</v>
      </c>
      <c r="B9" s="70" t="inlineStr">
        <is>
          <t>Gloves 7.0 ×2</t>
        </is>
      </c>
      <c r="C9" s="70" t="n"/>
      <c r="D9" s="70" t="inlineStr">
        <is>
          <t>No.</t>
        </is>
      </c>
      <c r="E9" s="70" t="n">
        <v>2</v>
      </c>
      <c r="F9" s="71" t="n">
        <v>91</v>
      </c>
      <c r="G9" s="71">
        <f>E9*F9</f>
        <v/>
      </c>
      <c r="H9" s="71" t="n">
        <v>19.06</v>
      </c>
      <c r="I9" s="71">
        <f>E9*H9</f>
        <v/>
      </c>
      <c r="J9" s="70" t="inlineStr">
        <is>
          <t>Vivekananda F/747</t>
        </is>
      </c>
    </row>
    <row r="10" ht="15" customHeight="1" s="66">
      <c r="A10" s="70" t="n">
        <v>6</v>
      </c>
      <c r="B10" s="70" t="inlineStr">
        <is>
          <t>NS 1000ml ×2</t>
        </is>
      </c>
      <c r="C10" s="70" t="n"/>
      <c r="D10" s="70" t="inlineStr">
        <is>
          <t>No.</t>
        </is>
      </c>
      <c r="E10" s="70" t="n">
        <v>2</v>
      </c>
      <c r="F10" s="71" t="n">
        <v>61.17</v>
      </c>
      <c r="G10" s="71">
        <f>E10*F10</f>
        <v/>
      </c>
      <c r="H10" s="71" t="n">
        <v>30.48</v>
      </c>
      <c r="I10" s="71">
        <f>E10*H10</f>
        <v/>
      </c>
      <c r="J10" s="70" t="inlineStr">
        <is>
          <t>S.S.B. S000645</t>
        </is>
      </c>
    </row>
    <row r="11" ht="15" customHeight="1" s="66">
      <c r="A11" s="70" t="n">
        <v>7</v>
      </c>
      <c r="B11" s="70" t="inlineStr">
        <is>
          <t>Betadine Lotion 50ml</t>
        </is>
      </c>
      <c r="C11" s="70" t="n"/>
      <c r="D11" s="70" t="inlineStr">
        <is>
          <t>No.</t>
        </is>
      </c>
      <c r="E11" s="70" t="n">
        <v>1</v>
      </c>
      <c r="F11" s="71" t="n">
        <v>151.33</v>
      </c>
      <c r="G11" s="71">
        <f>E11*F11</f>
        <v/>
      </c>
      <c r="H11" s="71" t="n">
        <v>85.70999999999999</v>
      </c>
      <c r="I11" s="71">
        <f>E11*H11</f>
        <v/>
      </c>
      <c r="J11" s="70" t="inlineStr">
        <is>
          <t>S.S.B. S000645</t>
        </is>
      </c>
    </row>
    <row r="12" ht="15" customHeight="1" s="66">
      <c r="A12" s="126" t="inlineStr">
        <is>
          <t xml:space="preserve">  Subtotal — Consumables / Medicines</t>
        </is>
      </c>
      <c r="G12" s="127">
        <f>SUM(G5:G11)</f>
        <v/>
      </c>
      <c r="H12" s="128" t="n"/>
      <c r="I12" s="127">
        <f>SUM(I5:I11)</f>
        <v/>
      </c>
      <c r="J12" s="128" t="n"/>
    </row>
    <row r="14" ht="15" customHeight="1" s="66">
      <c r="A14" s="124" t="inlineStr">
        <is>
          <t xml:space="preserve">  SECTION B — ROOM / BED CHARGES</t>
        </is>
      </c>
    </row>
    <row r="15" ht="15" customHeight="1" s="66">
      <c r="A15" s="70" t="n">
        <v>1</v>
      </c>
      <c r="B15" s="70" t="inlineStr">
        <is>
          <t>Bed / Room Charges</t>
        </is>
      </c>
      <c r="C15" s="70" t="inlineStr">
        <is>
          <t>Ward</t>
        </is>
      </c>
      <c r="D15" s="70" t="inlineStr">
        <is>
          <t>Day</t>
        </is>
      </c>
      <c r="E15" s="70" t="n">
        <v>1</v>
      </c>
      <c r="F15" s="71" t="n">
        <v>1000</v>
      </c>
      <c r="G15" s="71">
        <f>E15*F15</f>
        <v/>
      </c>
      <c r="H15" s="70" t="inlineStr">
        <is>
          <t>—</t>
        </is>
      </c>
      <c r="I15" s="70" t="inlineStr">
        <is>
          <t>—</t>
        </is>
      </c>
      <c r="J15" s="70" t="inlineStr">
        <is>
          <t>Per sheet</t>
        </is>
      </c>
    </row>
    <row r="17" ht="15" customHeight="1" s="66">
      <c r="A17" s="124" t="inlineStr">
        <is>
          <t xml:space="preserve">  SECTION C — OT / PROCEDURE CHARGES</t>
        </is>
      </c>
    </row>
    <row r="18" ht="15" customHeight="1" s="66">
      <c r="A18" s="70" t="n">
        <v>1</v>
      </c>
      <c r="B18" s="70" t="inlineStr">
        <is>
          <t>OT / Procedure Charges</t>
        </is>
      </c>
      <c r="C18" s="70" t="inlineStr">
        <is>
          <t>Per procedure</t>
        </is>
      </c>
      <c r="D18" s="70" t="inlineStr">
        <is>
          <t>—</t>
        </is>
      </c>
      <c r="E18" s="70" t="n">
        <v>1</v>
      </c>
      <c r="F18" s="71" t="n">
        <v>1500</v>
      </c>
      <c r="G18" s="71">
        <f>E18*F18</f>
        <v/>
      </c>
      <c r="H18" s="70" t="inlineStr">
        <is>
          <t>—</t>
        </is>
      </c>
      <c r="I18" s="70" t="inlineStr">
        <is>
          <t>—</t>
        </is>
      </c>
      <c r="J18" s="70" t="inlineStr">
        <is>
          <t>Per sheet</t>
        </is>
      </c>
    </row>
    <row r="20" ht="15" customHeight="1" s="66">
      <c r="A20" s="72" t="inlineStr">
        <is>
          <t>GRAND TOTAL PATIENT BILL</t>
        </is>
      </c>
      <c r="G20" s="73">
        <f>G12+SUM(G15:G15)+SUM(G18:G18)</f>
        <v/>
      </c>
      <c r="H20" s="73">
        <f>I12</f>
        <v/>
      </c>
      <c r="I20" s="73">
        <f>G20-H20</f>
        <v/>
      </c>
      <c r="J20" s="72" t="inlineStr">
        <is>
          <t>Bill | Cost | Margin</t>
        </is>
      </c>
    </row>
  </sheetData>
  <mergeCells count="6">
    <mergeCell ref="A1:J1"/>
    <mergeCell ref="A14:J14"/>
    <mergeCell ref="A17:J17"/>
    <mergeCell ref="A3:J3"/>
    <mergeCell ref="A12:F12"/>
    <mergeCell ref="A20:F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J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Dola Roy Gupta (Jun 27)</t>
        </is>
      </c>
      <c r="E2" s="123" t="inlineStr">
        <is>
          <t>Doctor: Dr. S. Gupta</t>
        </is>
      </c>
      <c r="G2" s="123" t="inlineStr">
        <is>
          <t>Date: 27/06/2026</t>
        </is>
      </c>
      <c r="I2" s="123" t="inlineStr">
        <is>
          <t>Proc: RIPS Spine — GA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70" t="n">
        <v>1</v>
      </c>
      <c r="B5" s="70" t="inlineStr">
        <is>
          <t>Syringe 2cc ×3</t>
        </is>
      </c>
      <c r="C5" s="70" t="n"/>
      <c r="D5" s="70" t="inlineStr">
        <is>
          <t>No.</t>
        </is>
      </c>
      <c r="E5" s="70" t="n">
        <v>3</v>
      </c>
      <c r="F5" s="71" t="n">
        <v>8.449999999999999</v>
      </c>
      <c r="G5" s="71">
        <f>E5*F5</f>
        <v/>
      </c>
      <c r="H5" s="71" t="n">
        <v>2.3</v>
      </c>
      <c r="I5" s="71">
        <f>E5*H5</f>
        <v/>
      </c>
      <c r="J5" s="70" t="inlineStr">
        <is>
          <t>M.R. MR000753</t>
        </is>
      </c>
    </row>
    <row r="6" ht="15" customHeight="1" s="66">
      <c r="A6" s="70" t="n">
        <v>2</v>
      </c>
      <c r="B6" s="70" t="inlineStr">
        <is>
          <t>Syringe 5cc ×2</t>
        </is>
      </c>
      <c r="C6" s="70" t="n"/>
      <c r="D6" s="70" t="inlineStr">
        <is>
          <t>No.</t>
        </is>
      </c>
      <c r="E6" s="70" t="n">
        <v>2</v>
      </c>
      <c r="F6" s="71" t="n">
        <v>10.23</v>
      </c>
      <c r="G6" s="71">
        <f>E6*F6</f>
        <v/>
      </c>
      <c r="H6" s="71" t="n">
        <v>3.5</v>
      </c>
      <c r="I6" s="71">
        <f>E6*H6</f>
        <v/>
      </c>
      <c r="J6" s="70" t="inlineStr">
        <is>
          <t>M.R. MR000539</t>
        </is>
      </c>
    </row>
    <row r="7" ht="15" customHeight="1" s="66">
      <c r="A7" s="70" t="n">
        <v>3</v>
      </c>
      <c r="B7" s="70" t="inlineStr">
        <is>
          <t>Syringe 10cc ×4</t>
        </is>
      </c>
      <c r="C7" s="70" t="n"/>
      <c r="D7" s="70" t="inlineStr">
        <is>
          <t>No.</t>
        </is>
      </c>
      <c r="E7" s="70" t="n">
        <v>4</v>
      </c>
      <c r="F7" s="71" t="n">
        <v>13.3</v>
      </c>
      <c r="G7" s="71">
        <f>E7*F7</f>
        <v/>
      </c>
      <c r="H7" s="71" t="n">
        <v>5.3</v>
      </c>
      <c r="I7" s="71">
        <f>E7*H7</f>
        <v/>
      </c>
      <c r="J7" s="70" t="inlineStr">
        <is>
          <t>M.R. MR000753</t>
        </is>
      </c>
    </row>
    <row r="8" ht="15" customHeight="1" s="66">
      <c r="A8" s="70" t="n">
        <v>4</v>
      </c>
      <c r="B8" s="70" t="inlineStr">
        <is>
          <t>Distilled Water 10ml ×5</t>
        </is>
      </c>
      <c r="C8" s="70" t="n"/>
      <c r="D8" s="70" t="inlineStr">
        <is>
          <t>No.</t>
        </is>
      </c>
      <c r="E8" s="70" t="n">
        <v>5</v>
      </c>
      <c r="F8" s="71" t="n">
        <v>3.24</v>
      </c>
      <c r="G8" s="71">
        <f>E8*F8</f>
        <v/>
      </c>
      <c r="H8" s="71" t="n">
        <v>2.51</v>
      </c>
      <c r="I8" s="71">
        <f>E8*H8</f>
        <v/>
      </c>
      <c r="J8" s="70" t="inlineStr">
        <is>
          <t>Vivekananda F/747</t>
        </is>
      </c>
    </row>
    <row r="9" ht="15" customHeight="1" s="66">
      <c r="A9" s="125" t="n">
        <v>5</v>
      </c>
      <c r="B9" s="125" t="inlineStr">
        <is>
          <t>Needles 18G ×2</t>
        </is>
      </c>
      <c r="C9" s="125" t="n"/>
      <c r="D9" s="125" t="inlineStr">
        <is>
          <t>No.</t>
        </is>
      </c>
      <c r="E9" s="125" t="n">
        <v>2</v>
      </c>
      <c r="F9" s="125" t="n">
        <v>3.38</v>
      </c>
      <c r="G9" s="125" t="n">
        <v>6.76</v>
      </c>
      <c r="H9" s="125" t="inlineStr">
        <is>
          <t>⚠</t>
        </is>
      </c>
      <c r="I9" s="125" t="inlineStr">
        <is>
          <t>⚠</t>
        </is>
      </c>
      <c r="J9" s="125" t="inlineStr">
        <is>
          <t>MRP filled; cost ⚠</t>
        </is>
      </c>
    </row>
    <row r="10" ht="15" customHeight="1" s="66">
      <c r="A10" s="70" t="n">
        <v>6</v>
      </c>
      <c r="B10" s="70" t="inlineStr">
        <is>
          <t>2% Lox Jelly</t>
        </is>
      </c>
      <c r="C10" s="70" t="n"/>
      <c r="D10" s="70" t="inlineStr">
        <is>
          <t>No.</t>
        </is>
      </c>
      <c r="E10" s="70" t="n">
        <v>1</v>
      </c>
      <c r="F10" s="71" t="n">
        <v>2100</v>
      </c>
      <c r="G10" s="71">
        <f>E10*F10</f>
        <v/>
      </c>
      <c r="H10" s="71" t="n">
        <v>549.72</v>
      </c>
      <c r="I10" s="71">
        <f>E10*H10</f>
        <v/>
      </c>
      <c r="J10" s="70" t="inlineStr">
        <is>
          <t>B.P. 307</t>
        </is>
      </c>
    </row>
    <row r="11" ht="15" customHeight="1" s="66">
      <c r="A11" s="70" t="n">
        <v>7</v>
      </c>
      <c r="B11" s="70" t="inlineStr">
        <is>
          <t>Apron Disposable</t>
        </is>
      </c>
      <c r="C11" s="70" t="n"/>
      <c r="D11" s="70" t="inlineStr">
        <is>
          <t>No.</t>
        </is>
      </c>
      <c r="E11" s="70" t="n">
        <v>3</v>
      </c>
      <c r="F11" s="71" t="n">
        <v>672</v>
      </c>
      <c r="G11" s="71">
        <f>E11*F11</f>
        <v/>
      </c>
      <c r="H11" s="71" t="n">
        <v>186.5</v>
      </c>
      <c r="I11" s="71">
        <f>E11*H11</f>
        <v/>
      </c>
      <c r="J11" s="70" t="inlineStr">
        <is>
          <t>B.P. 393</t>
        </is>
      </c>
    </row>
    <row r="12" ht="15" customHeight="1" s="66">
      <c r="A12" s="125" t="n">
        <v>8</v>
      </c>
      <c r="B12" s="125" t="inlineStr">
        <is>
          <t>Inj. Labetalol</t>
        </is>
      </c>
      <c r="C12" s="125" t="n"/>
      <c r="D12" s="125" t="inlineStr">
        <is>
          <t>No.</t>
        </is>
      </c>
      <c r="E12" s="125" t="n">
        <v>1</v>
      </c>
      <c r="F12" s="125" t="n">
        <v>426</v>
      </c>
      <c r="G12" s="125" t="n">
        <v>426</v>
      </c>
      <c r="H12" s="125" t="inlineStr">
        <is>
          <t>⚠</t>
        </is>
      </c>
      <c r="I12" s="125" t="inlineStr">
        <is>
          <t>⚠</t>
        </is>
      </c>
      <c r="J12" s="125" t="inlineStr">
        <is>
          <t>MRP filled; cost ⚠</t>
        </is>
      </c>
    </row>
    <row r="13" ht="15" customHeight="1" s="66">
      <c r="A13" s="70" t="n">
        <v>9</v>
      </c>
      <c r="B13" s="70" t="inlineStr">
        <is>
          <t>Inj.Midazolam 3ml</t>
        </is>
      </c>
      <c r="C13" s="70" t="n"/>
      <c r="D13" s="70" t="inlineStr">
        <is>
          <t>No.</t>
        </is>
      </c>
      <c r="E13" s="70" t="n">
        <v>1</v>
      </c>
      <c r="F13" s="71" t="n">
        <v>31.03</v>
      </c>
      <c r="G13" s="71">
        <f>E13*F13</f>
        <v/>
      </c>
      <c r="H13" s="71" t="n">
        <v>23.81</v>
      </c>
      <c r="I13" s="71">
        <f>E13*H13</f>
        <v/>
      </c>
      <c r="J13" s="70" t="inlineStr">
        <is>
          <t>S.S.B. S000092</t>
        </is>
      </c>
    </row>
    <row r="14" ht="15" customHeight="1" s="66">
      <c r="A14" s="70" t="n">
        <v>10</v>
      </c>
      <c r="B14" s="70" t="inlineStr">
        <is>
          <t>Inj. Pyrolate (Glycopyrrolate)</t>
        </is>
      </c>
      <c r="C14" s="70" t="n"/>
      <c r="D14" s="70" t="inlineStr">
        <is>
          <t>No.</t>
        </is>
      </c>
      <c r="E14" s="70" t="n">
        <v>1</v>
      </c>
      <c r="F14" s="71" t="n">
        <v>15.37</v>
      </c>
      <c r="G14" s="71">
        <f>E14*F14</f>
        <v/>
      </c>
      <c r="H14" s="71" t="n">
        <v>11.24</v>
      </c>
      <c r="I14" s="71">
        <f>E14*H14</f>
        <v/>
      </c>
      <c r="J14" s="70" t="inlineStr">
        <is>
          <t>S.S.B. S000092</t>
        </is>
      </c>
    </row>
    <row r="15" ht="15" customHeight="1" s="66">
      <c r="A15" s="70" t="n">
        <v>11</v>
      </c>
      <c r="B15" s="70" t="inlineStr">
        <is>
          <t>Inj. Neovac 10 mg</t>
        </is>
      </c>
      <c r="C15" s="70" t="n"/>
      <c r="D15" s="70" t="inlineStr">
        <is>
          <t>No.</t>
        </is>
      </c>
      <c r="E15" s="70" t="n">
        <v>2</v>
      </c>
      <c r="F15" s="71" t="n">
        <v>124.85</v>
      </c>
      <c r="G15" s="71">
        <f>E15*F15</f>
        <v/>
      </c>
      <c r="H15" s="71" t="n">
        <v>100</v>
      </c>
      <c r="I15" s="71">
        <f>E15*H15</f>
        <v/>
      </c>
      <c r="J15" s="70" t="inlineStr">
        <is>
          <t>S.S.B. S000135</t>
        </is>
      </c>
    </row>
    <row r="16" ht="15" customHeight="1" s="66">
      <c r="A16" s="125" t="n">
        <v>12</v>
      </c>
      <c r="B16" s="125" t="inlineStr">
        <is>
          <t>IV 3-Way 10cm</t>
        </is>
      </c>
      <c r="C16" s="125" t="n"/>
      <c r="D16" s="125" t="inlineStr">
        <is>
          <t>No.</t>
        </is>
      </c>
      <c r="E16" s="125" t="n">
        <v>1</v>
      </c>
      <c r="F16" s="125" t="n">
        <v>386</v>
      </c>
      <c r="G16" s="125" t="n">
        <v>386</v>
      </c>
      <c r="H16" s="125" t="inlineStr">
        <is>
          <t>⚠</t>
        </is>
      </c>
      <c r="I16" s="125" t="inlineStr">
        <is>
          <t>⚠</t>
        </is>
      </c>
      <c r="J16" s="125" t="inlineStr">
        <is>
          <t>MRP filled; cost ⚠</t>
        </is>
      </c>
    </row>
    <row r="17" ht="15" customHeight="1" s="66">
      <c r="A17" s="70" t="n">
        <v>13</v>
      </c>
      <c r="B17" s="70" t="inlineStr">
        <is>
          <t>Inj. Fortwin (Pentazocine)</t>
        </is>
      </c>
      <c r="C17" s="70" t="n"/>
      <c r="D17" s="70" t="inlineStr">
        <is>
          <t>No.</t>
        </is>
      </c>
      <c r="E17" s="70" t="n">
        <v>1</v>
      </c>
      <c r="F17" s="71" t="n">
        <v>59.59</v>
      </c>
      <c r="G17" s="71">
        <f>E17*F17</f>
        <v/>
      </c>
      <c r="H17" s="71" t="n">
        <v>22</v>
      </c>
      <c r="I17" s="71">
        <f>E17*H17</f>
        <v/>
      </c>
      <c r="J17" s="70" t="inlineStr">
        <is>
          <t>Vivekananda F/1180</t>
        </is>
      </c>
    </row>
    <row r="18" ht="15" customHeight="1" s="66">
      <c r="A18" s="125" t="n">
        <v>14</v>
      </c>
      <c r="B18" s="125" t="inlineStr">
        <is>
          <t>Inj. Tramazec 100mg</t>
        </is>
      </c>
      <c r="C18" s="125" t="n"/>
      <c r="D18" s="125" t="inlineStr">
        <is>
          <t>No.</t>
        </is>
      </c>
      <c r="E18" s="125" t="n">
        <v>1</v>
      </c>
      <c r="F18" s="125" t="n">
        <v>40</v>
      </c>
      <c r="G18" s="125" t="n">
        <v>40</v>
      </c>
      <c r="H18" s="125" t="inlineStr">
        <is>
          <t>⚠</t>
        </is>
      </c>
      <c r="I18" s="125" t="inlineStr">
        <is>
          <t>⚠</t>
        </is>
      </c>
      <c r="J18" s="125" t="inlineStr">
        <is>
          <t>MRP filled; cost ⚠</t>
        </is>
      </c>
    </row>
    <row r="19" ht="15" customHeight="1" s="66">
      <c r="A19" s="125" t="n">
        <v>15</v>
      </c>
      <c r="B19" s="125" t="inlineStr">
        <is>
          <t>Inj. Nac Phin</t>
        </is>
      </c>
      <c r="C19" s="125" t="n"/>
      <c r="D19" s="125" t="inlineStr">
        <is>
          <t>No.</t>
        </is>
      </c>
      <c r="E19" s="125" t="n">
        <v>1</v>
      </c>
      <c r="F19" s="125" t="n">
        <v>23.8</v>
      </c>
      <c r="G19" s="125" t="n">
        <v>23.8</v>
      </c>
      <c r="H19" s="125" t="n">
        <v>8.57</v>
      </c>
      <c r="I19" s="125" t="n">
        <v>8.57</v>
      </c>
      <c r="J19" s="125" t="inlineStr">
        <is>
          <t>Filled from stock/rate card</t>
        </is>
      </c>
    </row>
    <row r="20" ht="15" customHeight="1" s="66">
      <c r="A20" s="70" t="n">
        <v>16</v>
      </c>
      <c r="B20" s="70" t="inlineStr">
        <is>
          <t>Inj. Dexamethasone 2ml</t>
        </is>
      </c>
      <c r="C20" s="70" t="n"/>
      <c r="D20" s="70" t="inlineStr">
        <is>
          <t>No.</t>
        </is>
      </c>
      <c r="E20" s="70" t="n">
        <v>1</v>
      </c>
      <c r="F20" s="71" t="n">
        <v>10.87</v>
      </c>
      <c r="G20" s="71">
        <f>E20*F20</f>
        <v/>
      </c>
      <c r="H20" s="71" t="n">
        <v>8.279999999999999</v>
      </c>
      <c r="I20" s="71">
        <f>E20*H20</f>
        <v/>
      </c>
      <c r="J20" s="70" t="inlineStr">
        <is>
          <t>S.S.B. S000135</t>
        </is>
      </c>
    </row>
    <row r="21" ht="15" customHeight="1" s="66">
      <c r="A21" s="70" t="n">
        <v>17</v>
      </c>
      <c r="B21" s="70" t="inlineStr">
        <is>
          <t>Foley's Catheter 16 No.</t>
        </is>
      </c>
      <c r="C21" s="70" t="n"/>
      <c r="D21" s="70" t="inlineStr">
        <is>
          <t>No.</t>
        </is>
      </c>
      <c r="E21" s="70" t="n">
        <v>1</v>
      </c>
      <c r="F21" s="71" t="n">
        <v>174</v>
      </c>
      <c r="G21" s="71">
        <f>E21*F21</f>
        <v/>
      </c>
      <c r="H21" s="71" t="n">
        <v>126.5</v>
      </c>
      <c r="I21" s="71">
        <f>E21*H21</f>
        <v/>
      </c>
      <c r="J21" s="70" t="inlineStr">
        <is>
          <t>B.P. 248</t>
        </is>
      </c>
    </row>
    <row r="22" ht="15" customHeight="1" s="66">
      <c r="A22" s="70" t="n">
        <v>18</v>
      </c>
      <c r="B22" s="70" t="inlineStr">
        <is>
          <t>Urobag</t>
        </is>
      </c>
      <c r="C22" s="70" t="n"/>
      <c r="D22" s="70" t="inlineStr">
        <is>
          <t>No.</t>
        </is>
      </c>
      <c r="E22" s="70" t="n">
        <v>1</v>
      </c>
      <c r="F22" s="71" t="n">
        <v>361</v>
      </c>
      <c r="G22" s="71">
        <f>E22*F22</f>
        <v/>
      </c>
      <c r="H22" s="71" t="n">
        <v>35</v>
      </c>
      <c r="I22" s="71">
        <f>E22*H22</f>
        <v/>
      </c>
      <c r="J22" s="70" t="inlineStr">
        <is>
          <t>Vivekananda F/747</t>
        </is>
      </c>
    </row>
    <row r="23" ht="15" customHeight="1" s="66">
      <c r="A23" s="125" t="n">
        <v>19</v>
      </c>
      <c r="B23" s="125" t="inlineStr">
        <is>
          <t>Gauze Pieces ×20</t>
        </is>
      </c>
      <c r="C23" s="125" t="n"/>
      <c r="D23" s="125" t="inlineStr">
        <is>
          <t>No.</t>
        </is>
      </c>
      <c r="E23" s="125" t="n">
        <v>20</v>
      </c>
      <c r="F23" s="125" t="n">
        <v>14</v>
      </c>
      <c r="G23" s="125" t="n">
        <v>280</v>
      </c>
      <c r="H23" s="125" t="n">
        <v>5.46</v>
      </c>
      <c r="I23" s="125" t="n">
        <v>109.2</v>
      </c>
      <c r="J23" s="125" t="inlineStr">
        <is>
          <t>Filled from stock/rate card</t>
        </is>
      </c>
    </row>
    <row r="24" ht="15" customHeight="1" s="66">
      <c r="A24" s="70" t="n">
        <v>20</v>
      </c>
      <c r="B24" s="70" t="inlineStr">
        <is>
          <t>OT Mop / Abd. Swab</t>
        </is>
      </c>
      <c r="C24" s="70" t="n"/>
      <c r="D24" s="70" t="inlineStr">
        <is>
          <t>No.</t>
        </is>
      </c>
      <c r="E24" s="70" t="n">
        <v>1</v>
      </c>
      <c r="F24" s="71" t="n">
        <v>95</v>
      </c>
      <c r="G24" s="71">
        <f>E24*F24</f>
        <v/>
      </c>
      <c r="H24" s="71" t="n">
        <v>40.15</v>
      </c>
      <c r="I24" s="71">
        <f>E24*H24</f>
        <v/>
      </c>
      <c r="J24" s="70" t="inlineStr">
        <is>
          <t>B.P. 349</t>
        </is>
      </c>
    </row>
    <row r="25" ht="15" customHeight="1" s="66">
      <c r="A25" s="125" t="n">
        <v>21</v>
      </c>
      <c r="B25" s="125" t="inlineStr">
        <is>
          <t>Inj. Propofol 10ml ×4</t>
        </is>
      </c>
      <c r="C25" s="125" t="n"/>
      <c r="D25" s="125" t="inlineStr">
        <is>
          <t>No.</t>
        </is>
      </c>
      <c r="E25" s="125" t="n">
        <v>4</v>
      </c>
      <c r="F25" s="125" t="n">
        <v>72.2</v>
      </c>
      <c r="G25" s="125" t="n">
        <v>288.8</v>
      </c>
      <c r="H25" s="125" t="n">
        <v>50.54</v>
      </c>
      <c r="I25" s="125" t="n">
        <v>202.16</v>
      </c>
      <c r="J25" s="125" t="inlineStr">
        <is>
          <t>Filled from stock/rate card</t>
        </is>
      </c>
    </row>
    <row r="26" ht="15" customHeight="1" s="66">
      <c r="A26" s="70" t="n">
        <v>22</v>
      </c>
      <c r="B26" s="70" t="inlineStr">
        <is>
          <t>Inj. Sucol 2ml (Succinylcholine)</t>
        </is>
      </c>
      <c r="C26" s="70" t="n"/>
      <c r="D26" s="70" t="inlineStr">
        <is>
          <t>No.</t>
        </is>
      </c>
      <c r="E26" s="70" t="n">
        <v>1</v>
      </c>
      <c r="F26" s="71" t="n">
        <v>53.64</v>
      </c>
      <c r="G26" s="71">
        <f>E26*F26</f>
        <v/>
      </c>
      <c r="H26" s="71" t="n">
        <v>43.81</v>
      </c>
      <c r="I26" s="71">
        <f>E26*H26</f>
        <v/>
      </c>
      <c r="J26" s="70" t="inlineStr">
        <is>
          <t>S.S.B. S000135</t>
        </is>
      </c>
    </row>
    <row r="27" ht="15" customHeight="1" s="66">
      <c r="A27" s="70" t="n">
        <v>23</v>
      </c>
      <c r="B27" s="70" t="inlineStr">
        <is>
          <t>E.T. Tube 6.5</t>
        </is>
      </c>
      <c r="C27" s="70" t="n"/>
      <c r="D27" s="70" t="inlineStr">
        <is>
          <t>No.</t>
        </is>
      </c>
      <c r="E27" s="70" t="n">
        <v>1</v>
      </c>
      <c r="F27" s="71" t="n">
        <v>1800</v>
      </c>
      <c r="G27" s="71">
        <f>E27*F27</f>
        <v/>
      </c>
      <c r="H27" s="71" t="n">
        <v>523.8099999999999</v>
      </c>
      <c r="I27" s="71">
        <f>E27*H27</f>
        <v/>
      </c>
      <c r="J27" s="70" t="inlineStr">
        <is>
          <t>S.S.B. S000670</t>
        </is>
      </c>
    </row>
    <row r="28" ht="15" customHeight="1" s="66">
      <c r="A28" s="70" t="n">
        <v>24</v>
      </c>
      <c r="B28" s="70" t="inlineStr">
        <is>
          <t>Disposable Gloves ×4</t>
        </is>
      </c>
      <c r="C28" s="70" t="n"/>
      <c r="D28" s="70" t="inlineStr">
        <is>
          <t>No.</t>
        </is>
      </c>
      <c r="E28" s="70" t="n">
        <v>4</v>
      </c>
      <c r="F28" s="71" t="n">
        <v>91</v>
      </c>
      <c r="G28" s="71">
        <f>E28*F28</f>
        <v/>
      </c>
      <c r="H28" s="71" t="n">
        <v>19.06</v>
      </c>
      <c r="I28" s="71">
        <f>E28*H28</f>
        <v/>
      </c>
      <c r="J28" s="70" t="inlineStr">
        <is>
          <t>Vivekananda F/747</t>
        </is>
      </c>
    </row>
    <row r="29" ht="15" customHeight="1" s="66">
      <c r="A29" s="70" t="n">
        <v>25</v>
      </c>
      <c r="B29" s="70" t="inlineStr">
        <is>
          <t>Gloves 7.0 ×3</t>
        </is>
      </c>
      <c r="C29" s="70" t="n"/>
      <c r="D29" s="70" t="inlineStr">
        <is>
          <t>No.</t>
        </is>
      </c>
      <c r="E29" s="70" t="n">
        <v>3</v>
      </c>
      <c r="F29" s="71" t="n">
        <v>91</v>
      </c>
      <c r="G29" s="71">
        <f>E29*F29</f>
        <v/>
      </c>
      <c r="H29" s="71" t="n">
        <v>19.06</v>
      </c>
      <c r="I29" s="71">
        <f>E29*H29</f>
        <v/>
      </c>
      <c r="J29" s="70" t="inlineStr">
        <is>
          <t>Vivekananda F/747</t>
        </is>
      </c>
    </row>
    <row r="30" ht="15" customHeight="1" s="66">
      <c r="A30" s="70" t="n">
        <v>26</v>
      </c>
      <c r="B30" s="70" t="inlineStr">
        <is>
          <t>Gloves 6.5</t>
        </is>
      </c>
      <c r="C30" s="70" t="n"/>
      <c r="D30" s="70" t="inlineStr">
        <is>
          <t>No.</t>
        </is>
      </c>
      <c r="E30" s="70" t="n">
        <v>1</v>
      </c>
      <c r="F30" s="71" t="n">
        <v>91</v>
      </c>
      <c r="G30" s="71">
        <f>E30*F30</f>
        <v/>
      </c>
      <c r="H30" s="71" t="n">
        <v>19.06</v>
      </c>
      <c r="I30" s="71">
        <f>E30*H30</f>
        <v/>
      </c>
      <c r="J30" s="70" t="inlineStr">
        <is>
          <t>Vivekananda F/747</t>
        </is>
      </c>
    </row>
    <row r="31" ht="15" customHeight="1" s="66">
      <c r="A31" s="125" t="n">
        <v>27</v>
      </c>
      <c r="B31" s="125" t="inlineStr">
        <is>
          <t>Sterilium 150ml</t>
        </is>
      </c>
      <c r="C31" s="125" t="n"/>
      <c r="D31" s="125" t="inlineStr">
        <is>
          <t>No.</t>
        </is>
      </c>
      <c r="E31" s="125" t="n">
        <v>1</v>
      </c>
      <c r="F31" s="125" t="n">
        <v>150</v>
      </c>
      <c r="G31" s="125" t="n">
        <v>150</v>
      </c>
      <c r="H31" s="125" t="n">
        <v>38.1</v>
      </c>
      <c r="I31" s="125" t="n">
        <v>38.1</v>
      </c>
      <c r="J31" s="125" t="inlineStr">
        <is>
          <t>Filled from stock/rate card</t>
        </is>
      </c>
    </row>
    <row r="32" ht="15" customHeight="1" s="66">
      <c r="A32" s="70" t="n">
        <v>28</v>
      </c>
      <c r="B32" s="70" t="inlineStr">
        <is>
          <t>Feeding Tube No. 7</t>
        </is>
      </c>
      <c r="C32" s="70" t="n"/>
      <c r="D32" s="70" t="inlineStr">
        <is>
          <t>No.</t>
        </is>
      </c>
      <c r="E32" s="70" t="n">
        <v>1</v>
      </c>
      <c r="F32" s="71" t="n">
        <v>60</v>
      </c>
      <c r="G32" s="71">
        <f>E32*F32</f>
        <v/>
      </c>
      <c r="H32" s="71" t="n">
        <v>11.43</v>
      </c>
      <c r="I32" s="71">
        <f>E32*H32</f>
        <v/>
      </c>
      <c r="J32" s="70" t="inlineStr">
        <is>
          <t>S.S.B. S000092</t>
        </is>
      </c>
    </row>
    <row r="33" ht="15" customHeight="1" s="66">
      <c r="A33" s="70" t="n">
        <v>29</v>
      </c>
      <c r="B33" s="70" t="inlineStr">
        <is>
          <t>Suction Catheter 14 No.</t>
        </is>
      </c>
      <c r="C33" s="70" t="n"/>
      <c r="D33" s="70" t="inlineStr">
        <is>
          <t>No.</t>
        </is>
      </c>
      <c r="E33" s="70" t="n">
        <v>1</v>
      </c>
      <c r="F33" s="71" t="n">
        <v>174</v>
      </c>
      <c r="G33" s="71">
        <f>E33*F33</f>
        <v/>
      </c>
      <c r="H33" s="71" t="n">
        <v>126.5</v>
      </c>
      <c r="I33" s="71">
        <f>E33*H33</f>
        <v/>
      </c>
      <c r="J33" s="70" t="inlineStr">
        <is>
          <t>B.P. 248</t>
        </is>
      </c>
    </row>
    <row r="34" ht="15" customHeight="1" s="66">
      <c r="A34" s="70" t="n">
        <v>30</v>
      </c>
      <c r="B34" s="70" t="inlineStr">
        <is>
          <t>NS 500ml ×2</t>
        </is>
      </c>
      <c r="C34" s="70" t="n"/>
      <c r="D34" s="70" t="inlineStr">
        <is>
          <t>No.</t>
        </is>
      </c>
      <c r="E34" s="70" t="n">
        <v>2</v>
      </c>
      <c r="F34" s="71" t="n">
        <v>36.6</v>
      </c>
      <c r="G34" s="71">
        <f>E34*F34</f>
        <v/>
      </c>
      <c r="H34" s="71" t="n">
        <v>17.62</v>
      </c>
      <c r="I34" s="71">
        <f>E34*H34</f>
        <v/>
      </c>
      <c r="J34" s="70" t="inlineStr">
        <is>
          <t>S.S.B. S000645</t>
        </is>
      </c>
    </row>
    <row r="35" ht="15" customHeight="1" s="66">
      <c r="A35" s="70" t="n">
        <v>31</v>
      </c>
      <c r="B35" s="70" t="inlineStr">
        <is>
          <t>NS 1000ml ×2</t>
        </is>
      </c>
      <c r="C35" s="70" t="n"/>
      <c r="D35" s="70" t="inlineStr">
        <is>
          <t>No.</t>
        </is>
      </c>
      <c r="E35" s="70" t="n">
        <v>2</v>
      </c>
      <c r="F35" s="71" t="n">
        <v>61.17</v>
      </c>
      <c r="G35" s="71">
        <f>E35*F35</f>
        <v/>
      </c>
      <c r="H35" s="71" t="n">
        <v>30.48</v>
      </c>
      <c r="I35" s="71">
        <f>E35*H35</f>
        <v/>
      </c>
      <c r="J35" s="70" t="inlineStr">
        <is>
          <t>S.S.B. S000645</t>
        </is>
      </c>
    </row>
    <row r="36" ht="15" customHeight="1" s="66">
      <c r="A36" s="125" t="n">
        <v>32</v>
      </c>
      <c r="B36" s="125" t="inlineStr">
        <is>
          <t>Cap+ Mask</t>
        </is>
      </c>
      <c r="C36" s="125" t="n"/>
      <c r="D36" s="125" t="inlineStr">
        <is>
          <t>No.</t>
        </is>
      </c>
      <c r="E36" s="125" t="n">
        <v>5</v>
      </c>
      <c r="F36" s="125" t="n">
        <v>25</v>
      </c>
      <c r="G36" s="125" t="n">
        <v>125</v>
      </c>
      <c r="H36" s="125" t="inlineStr">
        <is>
          <t>⚠</t>
        </is>
      </c>
      <c r="I36" s="125" t="inlineStr">
        <is>
          <t>⚠</t>
        </is>
      </c>
      <c r="J36" s="125" t="inlineStr">
        <is>
          <t>MRP filled; cost ⚠</t>
        </is>
      </c>
    </row>
    <row r="37" ht="15" customHeight="1" s="66">
      <c r="A37" s="125" t="n">
        <v>33</v>
      </c>
      <c r="B37" s="125" t="inlineStr">
        <is>
          <t>Inj. Sugammadex</t>
        </is>
      </c>
      <c r="C37" s="125" t="n"/>
      <c r="D37" s="125" t="inlineStr">
        <is>
          <t>No.</t>
        </is>
      </c>
      <c r="E37" s="125" t="n">
        <v>1</v>
      </c>
      <c r="F37" s="125" t="n">
        <v>831</v>
      </c>
      <c r="G37" s="125" t="n">
        <v>831</v>
      </c>
      <c r="H37" s="125" t="inlineStr">
        <is>
          <t>⚠</t>
        </is>
      </c>
      <c r="I37" s="125" t="inlineStr">
        <is>
          <t>⚠</t>
        </is>
      </c>
      <c r="J37" s="125" t="inlineStr">
        <is>
          <t>MRP filled; cost ⚠</t>
        </is>
      </c>
    </row>
    <row r="38" ht="15" customHeight="1" s="66">
      <c r="A38" s="70" t="n">
        <v>34</v>
      </c>
      <c r="B38" s="70" t="inlineStr">
        <is>
          <t>Betadine Lotion 100ml</t>
        </is>
      </c>
      <c r="C38" s="70" t="n"/>
      <c r="D38" s="70" t="inlineStr">
        <is>
          <t>No.</t>
        </is>
      </c>
      <c r="E38" s="70" t="n">
        <v>1</v>
      </c>
      <c r="F38" s="71" t="n">
        <v>151.33</v>
      </c>
      <c r="G38" s="71">
        <f>E38*F38</f>
        <v/>
      </c>
      <c r="H38" s="71" t="n">
        <v>85.70999999999999</v>
      </c>
      <c r="I38" s="71">
        <f>E38*H38</f>
        <v/>
      </c>
      <c r="J38" s="70" t="inlineStr">
        <is>
          <t>S.S.B. S000645</t>
        </is>
      </c>
    </row>
    <row r="39" ht="15" customHeight="1" s="66">
      <c r="A39" s="70" t="n">
        <v>35</v>
      </c>
      <c r="B39" s="70" t="inlineStr">
        <is>
          <t>IV Set (Sangoflex)</t>
        </is>
      </c>
      <c r="C39" s="70" t="n"/>
      <c r="D39" s="70" t="inlineStr">
        <is>
          <t>No.</t>
        </is>
      </c>
      <c r="E39" s="70" t="n">
        <v>1</v>
      </c>
      <c r="F39" s="71" t="n">
        <v>201</v>
      </c>
      <c r="G39" s="71">
        <f>E39*F39</f>
        <v/>
      </c>
      <c r="H39" s="71" t="n">
        <v>11.9</v>
      </c>
      <c r="I39" s="71">
        <f>E39*H39</f>
        <v/>
      </c>
      <c r="J39" s="70" t="inlineStr">
        <is>
          <t>S.S.B. S000400</t>
        </is>
      </c>
    </row>
    <row r="40" ht="15" customHeight="1" s="66">
      <c r="A40" s="70" t="n">
        <v>36</v>
      </c>
      <c r="B40" s="70" t="inlineStr">
        <is>
          <t>IV Cannula 20G</t>
        </is>
      </c>
      <c r="C40" s="70" t="n"/>
      <c r="D40" s="70" t="inlineStr">
        <is>
          <t>No.</t>
        </is>
      </c>
      <c r="E40" s="70" t="n">
        <v>1</v>
      </c>
      <c r="F40" s="71" t="n">
        <v>198</v>
      </c>
      <c r="G40" s="71">
        <f>E40*F40</f>
        <v/>
      </c>
      <c r="H40" s="71" t="n">
        <v>7.14</v>
      </c>
      <c r="I40" s="71">
        <f>E40*H40</f>
        <v/>
      </c>
      <c r="J40" s="70" t="inlineStr">
        <is>
          <t>S.S.B. S000399</t>
        </is>
      </c>
    </row>
    <row r="41" ht="15" customHeight="1" s="66">
      <c r="A41" s="70" t="n">
        <v>37</v>
      </c>
      <c r="B41" s="70" t="inlineStr">
        <is>
          <t>IV Cannula 18G</t>
        </is>
      </c>
      <c r="C41" s="70" t="n"/>
      <c r="D41" s="70" t="inlineStr">
        <is>
          <t>No.</t>
        </is>
      </c>
      <c r="E41" s="70" t="n">
        <v>1</v>
      </c>
      <c r="F41" s="71" t="n">
        <v>321</v>
      </c>
      <c r="G41" s="71">
        <f>E41*F41</f>
        <v/>
      </c>
      <c r="H41" s="71" t="n">
        <v>55</v>
      </c>
      <c r="I41" s="71">
        <f>E41*H41</f>
        <v/>
      </c>
      <c r="J41" s="70" t="inlineStr">
        <is>
          <t>Vivekananda F/684</t>
        </is>
      </c>
    </row>
    <row r="42" ht="15" customHeight="1" s="66">
      <c r="A42" s="70" t="n">
        <v>38</v>
      </c>
      <c r="B42" s="70" t="inlineStr">
        <is>
          <t>NS 500ml ×4</t>
        </is>
      </c>
      <c r="C42" s="70" t="n"/>
      <c r="D42" s="70" t="inlineStr">
        <is>
          <t>No.</t>
        </is>
      </c>
      <c r="E42" s="70" t="n">
        <v>4</v>
      </c>
      <c r="F42" s="71" t="n">
        <v>36.6</v>
      </c>
      <c r="G42" s="71">
        <f>E42*F42</f>
        <v/>
      </c>
      <c r="H42" s="71" t="n">
        <v>17.62</v>
      </c>
      <c r="I42" s="71">
        <f>E42*H42</f>
        <v/>
      </c>
      <c r="J42" s="70" t="inlineStr">
        <is>
          <t>S.S.B. S000645</t>
        </is>
      </c>
    </row>
    <row r="43" ht="15" customHeight="1" s="66">
      <c r="A43" s="70" t="n">
        <v>39</v>
      </c>
      <c r="B43" s="70" t="inlineStr">
        <is>
          <t>Inj. Monocef 1g (Ceftriaxone) ×4</t>
        </is>
      </c>
      <c r="C43" s="70" t="n"/>
      <c r="D43" s="70" t="inlineStr">
        <is>
          <t>No.</t>
        </is>
      </c>
      <c r="E43" s="70" t="n">
        <v>4</v>
      </c>
      <c r="F43" s="71" t="n">
        <v>66.64</v>
      </c>
      <c r="G43" s="71">
        <f>E43*F43</f>
        <v/>
      </c>
      <c r="H43" s="71" t="n">
        <v>25.71</v>
      </c>
      <c r="I43" s="71">
        <f>E43*H43</f>
        <v/>
      </c>
      <c r="J43" s="70" t="inlineStr">
        <is>
          <t>S.S.B. S000135</t>
        </is>
      </c>
    </row>
    <row r="44" ht="15" customHeight="1" s="66">
      <c r="A44" s="70" t="n">
        <v>40</v>
      </c>
      <c r="B44" s="70" t="inlineStr">
        <is>
          <t>Inj. Pan 40 IV ×2</t>
        </is>
      </c>
      <c r="C44" s="70" t="n"/>
      <c r="D44" s="70" t="inlineStr">
        <is>
          <t>No.</t>
        </is>
      </c>
      <c r="E44" s="70" t="n">
        <v>2</v>
      </c>
      <c r="F44" s="71" t="n">
        <v>54.24</v>
      </c>
      <c r="G44" s="71">
        <f>E44*F44</f>
        <v/>
      </c>
      <c r="H44" s="71" t="n">
        <v>18</v>
      </c>
      <c r="I44" s="71">
        <f>E44*H44</f>
        <v/>
      </c>
      <c r="J44" s="70" t="inlineStr">
        <is>
          <t>M.R. MR000604</t>
        </is>
      </c>
    </row>
    <row r="45" ht="15" customHeight="1" s="66">
      <c r="A45" s="129" t="n">
        <v>41</v>
      </c>
      <c r="B45" s="129" t="inlineStr">
        <is>
          <t>Inj. Ondem (Ondansetron) ×4</t>
        </is>
      </c>
      <c r="C45" s="129" t="n"/>
      <c r="D45" s="129" t="inlineStr">
        <is>
          <t>No.</t>
        </is>
      </c>
      <c r="E45" s="129" t="n">
        <v>4</v>
      </c>
      <c r="F45" s="130" t="n">
        <v>146.25</v>
      </c>
      <c r="G45" s="130">
        <f>E45*F45</f>
        <v/>
      </c>
      <c r="H45" s="130" t="n">
        <v>109.52</v>
      </c>
      <c r="I45" s="130">
        <f>E45*H45</f>
        <v/>
      </c>
      <c r="J45" s="129" t="inlineStr">
        <is>
          <t>⚠ MRP OUTLIER — verify batch; S.S.B. S000670</t>
        </is>
      </c>
    </row>
    <row r="46" ht="15" customHeight="1" s="66">
      <c r="A46" s="70" t="n">
        <v>42</v>
      </c>
      <c r="B46" s="70" t="inlineStr">
        <is>
          <t>Easyfix</t>
        </is>
      </c>
      <c r="C46" s="70" t="n"/>
      <c r="D46" s="70" t="inlineStr">
        <is>
          <t>No.</t>
        </is>
      </c>
      <c r="E46" s="70" t="n">
        <v>1</v>
      </c>
      <c r="F46" s="71" t="n">
        <v>80.59999999999999</v>
      </c>
      <c r="G46" s="71">
        <f>E46*F46</f>
        <v/>
      </c>
      <c r="H46" s="71" t="n">
        <v>42.86</v>
      </c>
      <c r="I46" s="71">
        <f>E46*H46</f>
        <v/>
      </c>
      <c r="J46" s="70" t="inlineStr">
        <is>
          <t>S.S.B. S000293</t>
        </is>
      </c>
    </row>
    <row r="47" ht="15" customHeight="1" s="66">
      <c r="A47" s="125" t="n">
        <v>43</v>
      </c>
      <c r="B47" s="125" t="inlineStr">
        <is>
          <t>CBG Blood Glucose Test ×3</t>
        </is>
      </c>
      <c r="C47" s="125" t="n"/>
      <c r="D47" s="125" t="inlineStr">
        <is>
          <t>No.</t>
        </is>
      </c>
      <c r="E47" s="125" t="n">
        <v>3</v>
      </c>
      <c r="F47" s="125" t="n">
        <v>785</v>
      </c>
      <c r="G47" s="125" t="n">
        <v>2355</v>
      </c>
      <c r="H47" s="125" t="inlineStr">
        <is>
          <t>⚠</t>
        </is>
      </c>
      <c r="I47" s="125" t="inlineStr">
        <is>
          <t>⚠</t>
        </is>
      </c>
      <c r="J47" s="125" t="inlineStr">
        <is>
          <t>MRP filled; cost ⚠</t>
        </is>
      </c>
    </row>
    <row r="48" ht="15" customHeight="1" s="66">
      <c r="A48" s="70" t="n">
        <v>44</v>
      </c>
      <c r="B48" s="70" t="inlineStr">
        <is>
          <t>Syringe 5ml</t>
        </is>
      </c>
      <c r="C48" s="70" t="n"/>
      <c r="D48" s="70" t="inlineStr">
        <is>
          <t>No.</t>
        </is>
      </c>
      <c r="E48" s="70" t="n">
        <v>1</v>
      </c>
      <c r="F48" s="71" t="n">
        <v>10.23</v>
      </c>
      <c r="G48" s="71">
        <f>E48*F48</f>
        <v/>
      </c>
      <c r="H48" s="71" t="n">
        <v>3.5</v>
      </c>
      <c r="I48" s="71">
        <f>E48*H48</f>
        <v/>
      </c>
      <c r="J48" s="70" t="inlineStr">
        <is>
          <t>M.R. MR000539</t>
        </is>
      </c>
    </row>
    <row r="49" ht="15" customHeight="1" s="66">
      <c r="A49" s="70" t="n">
        <v>45</v>
      </c>
      <c r="B49" s="70" t="inlineStr">
        <is>
          <t>Syringe 10ml</t>
        </is>
      </c>
      <c r="C49" s="70" t="n"/>
      <c r="D49" s="70" t="inlineStr">
        <is>
          <t>No.</t>
        </is>
      </c>
      <c r="E49" s="70" t="n">
        <v>1</v>
      </c>
      <c r="F49" s="71" t="n">
        <v>13.3</v>
      </c>
      <c r="G49" s="71">
        <f>E49*F49</f>
        <v/>
      </c>
      <c r="H49" s="71" t="n">
        <v>5.3</v>
      </c>
      <c r="I49" s="71">
        <f>E49*H49</f>
        <v/>
      </c>
      <c r="J49" s="70" t="inlineStr">
        <is>
          <t>M.R. MR000753</t>
        </is>
      </c>
    </row>
    <row r="50" ht="15" customHeight="1" s="66">
      <c r="A50" s="70" t="n">
        <v>46</v>
      </c>
      <c r="B50" s="70" t="inlineStr">
        <is>
          <t>Inj. Dexamethasone 2ml</t>
        </is>
      </c>
      <c r="C50" s="70" t="n"/>
      <c r="D50" s="70" t="inlineStr">
        <is>
          <t>No.</t>
        </is>
      </c>
      <c r="E50" s="70" t="n">
        <v>1</v>
      </c>
      <c r="F50" s="71" t="n">
        <v>10.87</v>
      </c>
      <c r="G50" s="71">
        <f>E50*F50</f>
        <v/>
      </c>
      <c r="H50" s="71" t="n">
        <v>8.279999999999999</v>
      </c>
      <c r="I50" s="71">
        <f>E50*H50</f>
        <v/>
      </c>
      <c r="J50" s="70" t="inlineStr">
        <is>
          <t>S.S.B. S000135</t>
        </is>
      </c>
    </row>
    <row r="51" ht="15" customHeight="1" s="66">
      <c r="A51" s="70" t="n">
        <v>47</v>
      </c>
      <c r="B51" s="70" t="inlineStr">
        <is>
          <t>Distilled Water</t>
        </is>
      </c>
      <c r="C51" s="70" t="n"/>
      <c r="D51" s="70" t="inlineStr">
        <is>
          <t>No.</t>
        </is>
      </c>
      <c r="E51" s="70" t="n">
        <v>1</v>
      </c>
      <c r="F51" s="71" t="n">
        <v>3.24</v>
      </c>
      <c r="G51" s="71">
        <f>E51*F51</f>
        <v/>
      </c>
      <c r="H51" s="71" t="n">
        <v>2.51</v>
      </c>
      <c r="I51" s="71">
        <f>E51*H51</f>
        <v/>
      </c>
      <c r="J51" s="70" t="inlineStr">
        <is>
          <t>Vivekananda F/747</t>
        </is>
      </c>
    </row>
    <row r="52" ht="15" customHeight="1" s="66">
      <c r="A52" s="125" t="n">
        <v>48</v>
      </c>
      <c r="B52" s="125" t="inlineStr">
        <is>
          <t>Moli / Mackintosh Sheet</t>
        </is>
      </c>
      <c r="C52" s="125" t="n"/>
      <c r="D52" s="125" t="inlineStr">
        <is>
          <t>No.</t>
        </is>
      </c>
      <c r="E52" s="125" t="n">
        <v>1</v>
      </c>
      <c r="F52" s="125" t="n">
        <v>150</v>
      </c>
      <c r="G52" s="125" t="n">
        <v>150</v>
      </c>
      <c r="H52" s="125" t="n">
        <v>105</v>
      </c>
      <c r="I52" s="125" t="n">
        <v>105</v>
      </c>
      <c r="J52" s="125" t="inlineStr">
        <is>
          <t>Filled from stock/rate card</t>
        </is>
      </c>
    </row>
    <row r="53" ht="15" customHeight="1" s="66">
      <c r="A53" s="70" t="n">
        <v>49</v>
      </c>
      <c r="B53" s="70" t="inlineStr">
        <is>
          <t>Inj. Rantac (Ranitidine) ×2</t>
        </is>
      </c>
      <c r="C53" s="70" t="n"/>
      <c r="D53" s="70" t="inlineStr">
        <is>
          <t>No.</t>
        </is>
      </c>
      <c r="E53" s="70" t="n">
        <v>2</v>
      </c>
      <c r="F53" s="71" t="n">
        <v>7.48</v>
      </c>
      <c r="G53" s="71">
        <f>E53*F53</f>
        <v/>
      </c>
      <c r="H53" s="71" t="n">
        <v>4.98</v>
      </c>
      <c r="I53" s="71">
        <f>E53*H53</f>
        <v/>
      </c>
      <c r="J53" s="70" t="inlineStr">
        <is>
          <t>M.R. MR000816</t>
        </is>
      </c>
    </row>
    <row r="54" ht="15" customHeight="1" s="66">
      <c r="A54" s="126" t="inlineStr">
        <is>
          <t xml:space="preserve">  Subtotal — Consumables / Medicines</t>
        </is>
      </c>
      <c r="G54" s="127">
        <f>SUM(G5:G53)</f>
        <v/>
      </c>
      <c r="H54" s="128" t="n"/>
      <c r="I54" s="127">
        <f>SUM(I5:I53)</f>
        <v/>
      </c>
      <c r="J54" s="128" t="n"/>
    </row>
    <row r="56" ht="15" customHeight="1" s="66">
      <c r="A56" s="124" t="inlineStr">
        <is>
          <t xml:space="preserve">  SECTION B — ROOM / BED CHARGES</t>
        </is>
      </c>
    </row>
    <row r="57" ht="15" customHeight="1" s="66">
      <c r="A57" s="70" t="n">
        <v>1</v>
      </c>
      <c r="B57" s="70" t="inlineStr">
        <is>
          <t>Bed / Room Charges</t>
        </is>
      </c>
      <c r="C57" s="70" t="inlineStr">
        <is>
          <t>Ward</t>
        </is>
      </c>
      <c r="D57" s="70" t="inlineStr">
        <is>
          <t>Day</t>
        </is>
      </c>
      <c r="E57" s="70" t="n">
        <v>2</v>
      </c>
      <c r="F57" s="71" t="n">
        <v>1000</v>
      </c>
      <c r="G57" s="71">
        <f>E57*F57</f>
        <v/>
      </c>
      <c r="H57" s="70" t="inlineStr">
        <is>
          <t>—</t>
        </is>
      </c>
      <c r="I57" s="70" t="inlineStr">
        <is>
          <t>—</t>
        </is>
      </c>
      <c r="J57" s="70" t="inlineStr">
        <is>
          <t>Per sheet</t>
        </is>
      </c>
    </row>
    <row r="59" ht="15" customHeight="1" s="66">
      <c r="A59" s="124" t="inlineStr">
        <is>
          <t xml:space="preserve">  SECTION C — OT / PROCEDURE CHARGES</t>
        </is>
      </c>
    </row>
    <row r="60" ht="15" customHeight="1" s="66">
      <c r="A60" s="70" t="n">
        <v>1</v>
      </c>
      <c r="B60" s="70" t="inlineStr">
        <is>
          <t>OT / Procedure Charges</t>
        </is>
      </c>
      <c r="C60" s="70" t="inlineStr">
        <is>
          <t>Per procedure</t>
        </is>
      </c>
      <c r="D60" s="70" t="inlineStr">
        <is>
          <t>—</t>
        </is>
      </c>
      <c r="E60" s="70" t="n">
        <v>1</v>
      </c>
      <c r="F60" s="71" t="n">
        <v>1500</v>
      </c>
      <c r="G60" s="71">
        <f>E60*F60</f>
        <v/>
      </c>
      <c r="H60" s="70" t="inlineStr">
        <is>
          <t>—</t>
        </is>
      </c>
      <c r="I60" s="70" t="inlineStr">
        <is>
          <t>—</t>
        </is>
      </c>
      <c r="J60" s="70" t="inlineStr">
        <is>
          <t>Per sheet</t>
        </is>
      </c>
    </row>
    <row r="62" ht="15" customHeight="1" s="66">
      <c r="A62" s="72" t="inlineStr">
        <is>
          <t>GRAND TOTAL PATIENT BILL</t>
        </is>
      </c>
      <c r="G62" s="73">
        <f>G54+SUM(G57:G57)+SUM(G60:G60)</f>
        <v/>
      </c>
      <c r="H62" s="73">
        <f>I54</f>
        <v/>
      </c>
      <c r="I62" s="73">
        <f>G62-H62</f>
        <v/>
      </c>
      <c r="J62" s="72" t="inlineStr">
        <is>
          <t>Bill | Cost | Margin</t>
        </is>
      </c>
    </row>
  </sheetData>
  <mergeCells count="6">
    <mergeCell ref="A54:F54"/>
    <mergeCell ref="A1:J1"/>
    <mergeCell ref="A56:J56"/>
    <mergeCell ref="A3:J3"/>
    <mergeCell ref="A59:J59"/>
    <mergeCell ref="A62:F6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J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Anita Tamang</t>
        </is>
      </c>
      <c r="E2" s="123" t="inlineStr">
        <is>
          <t>Doctor: Prof. Dr. S. Gupta</t>
        </is>
      </c>
      <c r="G2" s="123" t="inlineStr">
        <is>
          <t>Date: 29/06/2026</t>
        </is>
      </c>
      <c r="I2" s="123" t="inlineStr">
        <is>
          <t>Proc: LA Procedure (Urology)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125" t="n">
        <v>1</v>
      </c>
      <c r="B5" s="125" t="inlineStr">
        <is>
          <t>Gauze Pieces ×10</t>
        </is>
      </c>
      <c r="C5" s="125" t="n"/>
      <c r="D5" s="125" t="inlineStr">
        <is>
          <t>No.</t>
        </is>
      </c>
      <c r="E5" s="125" t="n">
        <v>10</v>
      </c>
      <c r="F5" s="125" t="n">
        <v>14</v>
      </c>
      <c r="G5" s="125" t="n">
        <v>140</v>
      </c>
      <c r="H5" s="125" t="n">
        <v>5.46</v>
      </c>
      <c r="I5" s="125" t="n">
        <v>54.6</v>
      </c>
      <c r="J5" s="125" t="inlineStr">
        <is>
          <t>Filled from stock/rate card</t>
        </is>
      </c>
    </row>
    <row r="6" ht="15" customHeight="1" s="66">
      <c r="A6" s="70" t="n">
        <v>2</v>
      </c>
      <c r="B6" s="70" t="inlineStr">
        <is>
          <t>OT Mop / Abd. Swab</t>
        </is>
      </c>
      <c r="C6" s="70" t="n"/>
      <c r="D6" s="70" t="inlineStr">
        <is>
          <t>No.</t>
        </is>
      </c>
      <c r="E6" s="70" t="n">
        <v>1</v>
      </c>
      <c r="F6" s="71" t="n">
        <v>95</v>
      </c>
      <c r="G6" s="71">
        <f>E6*F6</f>
        <v/>
      </c>
      <c r="H6" s="71" t="n">
        <v>40.15</v>
      </c>
      <c r="I6" s="71">
        <f>E6*H6</f>
        <v/>
      </c>
      <c r="J6" s="70" t="inlineStr">
        <is>
          <t>B.P. 349</t>
        </is>
      </c>
    </row>
    <row r="7" ht="15" customHeight="1" s="66">
      <c r="A7" s="70" t="n">
        <v>3</v>
      </c>
      <c r="B7" s="70" t="inlineStr">
        <is>
          <t>Gloves 7.0 ×2</t>
        </is>
      </c>
      <c r="C7" s="70" t="n"/>
      <c r="D7" s="70" t="inlineStr">
        <is>
          <t>No.</t>
        </is>
      </c>
      <c r="E7" s="70" t="n">
        <v>2</v>
      </c>
      <c r="F7" s="71" t="n">
        <v>91</v>
      </c>
      <c r="G7" s="71">
        <f>E7*F7</f>
        <v/>
      </c>
      <c r="H7" s="71" t="n">
        <v>19.06</v>
      </c>
      <c r="I7" s="71">
        <f>E7*H7</f>
        <v/>
      </c>
      <c r="J7" s="70" t="inlineStr">
        <is>
          <t>Vivekananda F/747</t>
        </is>
      </c>
    </row>
    <row r="8" ht="15" customHeight="1" s="66">
      <c r="A8" s="125" t="n">
        <v>4</v>
      </c>
      <c r="B8" s="125" t="inlineStr">
        <is>
          <t>2% Xylocaine Jelly</t>
        </is>
      </c>
      <c r="C8" s="125" t="n"/>
      <c r="D8" s="125" t="inlineStr">
        <is>
          <t>No.</t>
        </is>
      </c>
      <c r="E8" s="125" t="n">
        <v>1</v>
      </c>
      <c r="F8" s="125" t="n">
        <v>34.58</v>
      </c>
      <c r="G8" s="125" t="n">
        <v>34.58</v>
      </c>
      <c r="H8" s="125" t="n">
        <v>27</v>
      </c>
      <c r="I8" s="125" t="n">
        <v>27</v>
      </c>
      <c r="J8" s="125" t="inlineStr">
        <is>
          <t>Filled from stock/rate card</t>
        </is>
      </c>
    </row>
    <row r="9" ht="15" customHeight="1" s="66">
      <c r="A9" s="70" t="n">
        <v>5</v>
      </c>
      <c r="B9" s="70" t="inlineStr">
        <is>
          <t>Betadine Lotion 50ml</t>
        </is>
      </c>
      <c r="C9" s="70" t="n"/>
      <c r="D9" s="70" t="inlineStr">
        <is>
          <t>No.</t>
        </is>
      </c>
      <c r="E9" s="70" t="n">
        <v>1</v>
      </c>
      <c r="F9" s="71" t="n">
        <v>151.33</v>
      </c>
      <c r="G9" s="71">
        <f>E9*F9</f>
        <v/>
      </c>
      <c r="H9" s="71" t="n">
        <v>85.70999999999999</v>
      </c>
      <c r="I9" s="71">
        <f>E9*H9</f>
        <v/>
      </c>
      <c r="J9" s="70" t="inlineStr">
        <is>
          <t>S.S.B. S000645</t>
        </is>
      </c>
    </row>
    <row r="10" ht="15" customHeight="1" s="66">
      <c r="A10" s="126" t="inlineStr">
        <is>
          <t xml:space="preserve">  Subtotal — Consumables / Medicines</t>
        </is>
      </c>
      <c r="G10" s="127">
        <f>SUM(G5:G9)</f>
        <v/>
      </c>
      <c r="H10" s="128" t="n"/>
      <c r="I10" s="127">
        <f>SUM(I5:I9)</f>
        <v/>
      </c>
      <c r="J10" s="128" t="n"/>
    </row>
    <row r="12" ht="15" customHeight="1" s="66">
      <c r="A12" s="124" t="inlineStr">
        <is>
          <t xml:space="preserve">  SECTION B — ROOM / BED CHARGES</t>
        </is>
      </c>
    </row>
    <row r="13" ht="15" customHeight="1" s="66">
      <c r="A13" s="70" t="n">
        <v>1</v>
      </c>
      <c r="B13" s="70" t="inlineStr">
        <is>
          <t>Bed / Room Charges</t>
        </is>
      </c>
      <c r="C13" s="70" t="inlineStr">
        <is>
          <t>Ward</t>
        </is>
      </c>
      <c r="D13" s="70" t="inlineStr">
        <is>
          <t>Day</t>
        </is>
      </c>
      <c r="E13" s="70" t="n">
        <v>1</v>
      </c>
      <c r="F13" s="71" t="n">
        <v>1000</v>
      </c>
      <c r="G13" s="71">
        <f>E13*F13</f>
        <v/>
      </c>
      <c r="H13" s="70" t="inlineStr">
        <is>
          <t>—</t>
        </is>
      </c>
      <c r="I13" s="70" t="inlineStr">
        <is>
          <t>—</t>
        </is>
      </c>
      <c r="J13" s="70" t="inlineStr">
        <is>
          <t>Per sheet</t>
        </is>
      </c>
    </row>
    <row r="15" ht="15" customHeight="1" s="66">
      <c r="A15" s="124" t="inlineStr">
        <is>
          <t xml:space="preserve">  SECTION C — OT / PROCEDURE CHARGES</t>
        </is>
      </c>
    </row>
    <row r="16" ht="15" customHeight="1" s="66">
      <c r="A16" s="70" t="n">
        <v>1</v>
      </c>
      <c r="B16" s="70" t="inlineStr">
        <is>
          <t>OT / Procedure Charges</t>
        </is>
      </c>
      <c r="C16" s="70" t="inlineStr">
        <is>
          <t>Per procedure</t>
        </is>
      </c>
      <c r="D16" s="70" t="inlineStr">
        <is>
          <t>—</t>
        </is>
      </c>
      <c r="E16" s="70" t="n">
        <v>1</v>
      </c>
      <c r="F16" s="71" t="n">
        <v>1500</v>
      </c>
      <c r="G16" s="71">
        <f>E16*F16</f>
        <v/>
      </c>
      <c r="H16" s="70" t="inlineStr">
        <is>
          <t>—</t>
        </is>
      </c>
      <c r="I16" s="70" t="inlineStr">
        <is>
          <t>—</t>
        </is>
      </c>
      <c r="J16" s="70" t="inlineStr">
        <is>
          <t>Per sheet</t>
        </is>
      </c>
    </row>
    <row r="18" ht="15" customHeight="1" s="66">
      <c r="A18" s="72" t="inlineStr">
        <is>
          <t>GRAND TOTAL PATIENT BILL</t>
        </is>
      </c>
      <c r="G18" s="73">
        <f>G10+SUM(G13:G13)+SUM(G16:G16)</f>
        <v/>
      </c>
      <c r="H18" s="73">
        <f>I10</f>
        <v/>
      </c>
      <c r="I18" s="73">
        <f>G18-H18</f>
        <v/>
      </c>
      <c r="J18" s="72" t="inlineStr">
        <is>
          <t>Bill | Cost | Margin</t>
        </is>
      </c>
    </row>
  </sheetData>
  <mergeCells count="6">
    <mergeCell ref="A1:J1"/>
    <mergeCell ref="A10:F10"/>
    <mergeCell ref="A3:J3"/>
    <mergeCell ref="A15:J15"/>
    <mergeCell ref="A12:J12"/>
    <mergeCell ref="A18:F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J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Shankari — Ward Follow-up</t>
        </is>
      </c>
      <c r="E2" s="123" t="inlineStr">
        <is>
          <t>Doctor: Dr. K. Digga</t>
        </is>
      </c>
      <c r="G2" s="123" t="inlineStr">
        <is>
          <t>Date: 26/06/2026</t>
        </is>
      </c>
      <c r="I2" s="123" t="inlineStr">
        <is>
          <t>Proc: TKR Post-op Ward (Follow-up Continuation)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70" t="n">
        <v>1</v>
      </c>
      <c r="B5" s="70" t="inlineStr">
        <is>
          <t>IV Cannula 20G ×3</t>
        </is>
      </c>
      <c r="C5" s="70" t="n"/>
      <c r="D5" s="70" t="inlineStr">
        <is>
          <t>No.</t>
        </is>
      </c>
      <c r="E5" s="70" t="n">
        <v>3</v>
      </c>
      <c r="F5" s="71" t="n">
        <v>198</v>
      </c>
      <c r="G5" s="71">
        <f>E5*F5</f>
        <v/>
      </c>
      <c r="H5" s="71" t="n">
        <v>7.14</v>
      </c>
      <c r="I5" s="71">
        <f>E5*H5</f>
        <v/>
      </c>
      <c r="J5" s="70" t="inlineStr">
        <is>
          <t>S.S.B. S000399</t>
        </is>
      </c>
    </row>
    <row r="6" ht="15" customHeight="1" s="66">
      <c r="A6" s="70" t="n">
        <v>2</v>
      </c>
      <c r="B6" s="70" t="inlineStr">
        <is>
          <t>IV Cannula 22G</t>
        </is>
      </c>
      <c r="C6" s="70" t="n"/>
      <c r="D6" s="70" t="inlineStr">
        <is>
          <t>No.</t>
        </is>
      </c>
      <c r="E6" s="70" t="n">
        <v>1</v>
      </c>
      <c r="F6" s="71" t="n">
        <v>321</v>
      </c>
      <c r="G6" s="71">
        <f>E6*F6</f>
        <v/>
      </c>
      <c r="H6" s="71" t="n">
        <v>55</v>
      </c>
      <c r="I6" s="71">
        <f>E6*H6</f>
        <v/>
      </c>
      <c r="J6" s="70" t="inlineStr">
        <is>
          <t>Vivekananda F/1180</t>
        </is>
      </c>
    </row>
    <row r="7" ht="15" customHeight="1" s="66">
      <c r="A7" s="70" t="n">
        <v>3</v>
      </c>
      <c r="B7" s="70" t="inlineStr">
        <is>
          <t>Inj. Pan 40 IV ×2</t>
        </is>
      </c>
      <c r="C7" s="70" t="n"/>
      <c r="D7" s="70" t="inlineStr">
        <is>
          <t>No.</t>
        </is>
      </c>
      <c r="E7" s="70" t="n">
        <v>2</v>
      </c>
      <c r="F7" s="71" t="n">
        <v>54.24</v>
      </c>
      <c r="G7" s="71">
        <f>E7*F7</f>
        <v/>
      </c>
      <c r="H7" s="71" t="n">
        <v>18</v>
      </c>
      <c r="I7" s="71">
        <f>E7*H7</f>
        <v/>
      </c>
      <c r="J7" s="70" t="inlineStr">
        <is>
          <t>M.R. MR000604</t>
        </is>
      </c>
    </row>
    <row r="8" ht="15" customHeight="1" s="66">
      <c r="A8" s="129" t="n">
        <v>4</v>
      </c>
      <c r="B8" s="129" t="inlineStr">
        <is>
          <t>Inj. Ondem 2ml ×2</t>
        </is>
      </c>
      <c r="C8" s="129" t="n"/>
      <c r="D8" s="129" t="inlineStr">
        <is>
          <t>No.</t>
        </is>
      </c>
      <c r="E8" s="129" t="n">
        <v>2</v>
      </c>
      <c r="F8" s="130" t="n">
        <v>146.25</v>
      </c>
      <c r="G8" s="130">
        <f>E8*F8</f>
        <v/>
      </c>
      <c r="H8" s="130" t="n">
        <v>109.52</v>
      </c>
      <c r="I8" s="130">
        <f>E8*H8</f>
        <v/>
      </c>
      <c r="J8" s="129" t="inlineStr">
        <is>
          <t>⚠ MRP OUTLIER — verify batch; S.S.B. S000670</t>
        </is>
      </c>
    </row>
    <row r="9" ht="15" customHeight="1" s="66">
      <c r="A9" s="125" t="n">
        <v>5</v>
      </c>
      <c r="B9" s="125" t="inlineStr">
        <is>
          <t>Inj. Tramadol 2ml</t>
        </is>
      </c>
      <c r="C9" s="125" t="n"/>
      <c r="D9" s="125" t="inlineStr">
        <is>
          <t>No.</t>
        </is>
      </c>
      <c r="E9" s="125" t="n">
        <v>1</v>
      </c>
      <c r="F9" s="125" t="n">
        <v>12.56</v>
      </c>
      <c r="G9" s="125" t="n">
        <v>12.56</v>
      </c>
      <c r="H9" s="125" t="n">
        <v>4.76</v>
      </c>
      <c r="I9" s="125" t="n">
        <v>4.76</v>
      </c>
      <c r="J9" s="125" t="inlineStr">
        <is>
          <t>Filled from stock/rate card</t>
        </is>
      </c>
    </row>
    <row r="10" ht="15" customHeight="1" s="66">
      <c r="A10" s="70" t="n">
        <v>6</v>
      </c>
      <c r="B10" s="70" t="inlineStr">
        <is>
          <t>NS 100ml</t>
        </is>
      </c>
      <c r="C10" s="70" t="n"/>
      <c r="D10" s="70" t="inlineStr">
        <is>
          <t>No.</t>
        </is>
      </c>
      <c r="E10" s="70" t="n">
        <v>1</v>
      </c>
      <c r="F10" s="71" t="n">
        <v>21</v>
      </c>
      <c r="G10" s="71">
        <f>E10*F10</f>
        <v/>
      </c>
      <c r="H10" s="71" t="n">
        <v>11.43</v>
      </c>
      <c r="I10" s="71">
        <f>E10*H10</f>
        <v/>
      </c>
      <c r="J10" s="70" t="inlineStr">
        <is>
          <t>S.S.B. S000645</t>
        </is>
      </c>
    </row>
    <row r="11" ht="15" customHeight="1" s="66">
      <c r="A11" s="70" t="n">
        <v>7</v>
      </c>
      <c r="B11" s="70" t="inlineStr">
        <is>
          <t>Dextrose 25% (D25)</t>
        </is>
      </c>
      <c r="C11" s="70" t="n"/>
      <c r="D11" s="70" t="inlineStr">
        <is>
          <t>No.</t>
        </is>
      </c>
      <c r="E11" s="70" t="n">
        <v>1</v>
      </c>
      <c r="F11" s="71" t="n">
        <v>73</v>
      </c>
      <c r="G11" s="71">
        <f>E11*F11</f>
        <v/>
      </c>
      <c r="H11" s="71" t="n">
        <v>28.6</v>
      </c>
      <c r="I11" s="71">
        <f>E11*H11</f>
        <v/>
      </c>
      <c r="J11" s="70" t="inlineStr">
        <is>
          <t>B.P. 307</t>
        </is>
      </c>
    </row>
    <row r="12" ht="15" customHeight="1" s="66">
      <c r="A12" s="70" t="n">
        <v>8</v>
      </c>
      <c r="B12" s="70" t="inlineStr">
        <is>
          <t>NS 500ml ×2</t>
        </is>
      </c>
      <c r="C12" s="70" t="n"/>
      <c r="D12" s="70" t="inlineStr">
        <is>
          <t>No.</t>
        </is>
      </c>
      <c r="E12" s="70" t="n">
        <v>2</v>
      </c>
      <c r="F12" s="71" t="n">
        <v>36.6</v>
      </c>
      <c r="G12" s="71">
        <f>E12*F12</f>
        <v/>
      </c>
      <c r="H12" s="71" t="n">
        <v>17.62</v>
      </c>
      <c r="I12" s="71">
        <f>E12*H12</f>
        <v/>
      </c>
      <c r="J12" s="70" t="inlineStr">
        <is>
          <t>S.S.B. S000645</t>
        </is>
      </c>
    </row>
    <row r="13" ht="15" customHeight="1" s="66">
      <c r="A13" s="70" t="n">
        <v>9</v>
      </c>
      <c r="B13" s="70" t="inlineStr">
        <is>
          <t>Easyfix ×4</t>
        </is>
      </c>
      <c r="C13" s="70" t="n"/>
      <c r="D13" s="70" t="inlineStr">
        <is>
          <t>No.</t>
        </is>
      </c>
      <c r="E13" s="70" t="n">
        <v>4</v>
      </c>
      <c r="F13" s="71" t="n">
        <v>80.59999999999999</v>
      </c>
      <c r="G13" s="71">
        <f>E13*F13</f>
        <v/>
      </c>
      <c r="H13" s="71" t="n">
        <v>42.86</v>
      </c>
      <c r="I13" s="71">
        <f>E13*H13</f>
        <v/>
      </c>
      <c r="J13" s="70" t="inlineStr">
        <is>
          <t>S.S.B. S000293</t>
        </is>
      </c>
    </row>
    <row r="14" ht="15" customHeight="1" s="66">
      <c r="A14" s="70" t="n">
        <v>10</v>
      </c>
      <c r="B14" s="70" t="inlineStr">
        <is>
          <t>Distilled Water ×2</t>
        </is>
      </c>
      <c r="C14" s="70" t="n"/>
      <c r="D14" s="70" t="inlineStr">
        <is>
          <t>No.</t>
        </is>
      </c>
      <c r="E14" s="70" t="n">
        <v>2</v>
      </c>
      <c r="F14" s="71" t="n">
        <v>3.24</v>
      </c>
      <c r="G14" s="71">
        <f>E14*F14</f>
        <v/>
      </c>
      <c r="H14" s="71" t="n">
        <v>2.51</v>
      </c>
      <c r="I14" s="71">
        <f>E14*H14</f>
        <v/>
      </c>
      <c r="J14" s="70" t="inlineStr">
        <is>
          <t>Vivekananda F/747</t>
        </is>
      </c>
    </row>
    <row r="15" ht="15" customHeight="1" s="66">
      <c r="A15" s="70" t="n">
        <v>11</v>
      </c>
      <c r="B15" s="70" t="inlineStr">
        <is>
          <t>IV Set (Sangoflex)</t>
        </is>
      </c>
      <c r="C15" s="70" t="n"/>
      <c r="D15" s="70" t="inlineStr">
        <is>
          <t>No.</t>
        </is>
      </c>
      <c r="E15" s="70" t="n">
        <v>1</v>
      </c>
      <c r="F15" s="71" t="n">
        <v>201</v>
      </c>
      <c r="G15" s="71">
        <f>E15*F15</f>
        <v/>
      </c>
      <c r="H15" s="71" t="n">
        <v>11.9</v>
      </c>
      <c r="I15" s="71">
        <f>E15*H15</f>
        <v/>
      </c>
      <c r="J15" s="70" t="inlineStr">
        <is>
          <t>S.S.B. S000400</t>
        </is>
      </c>
    </row>
    <row r="16" ht="15" customHeight="1" s="66">
      <c r="A16" s="70" t="n">
        <v>12</v>
      </c>
      <c r="B16" s="70" t="inlineStr">
        <is>
          <t>Syringe 10ml</t>
        </is>
      </c>
      <c r="C16" s="70" t="n"/>
      <c r="D16" s="70" t="inlineStr">
        <is>
          <t>No.</t>
        </is>
      </c>
      <c r="E16" s="70" t="n">
        <v>1</v>
      </c>
      <c r="F16" s="71" t="n">
        <v>13.3</v>
      </c>
      <c r="G16" s="71">
        <f>E16*F16</f>
        <v/>
      </c>
      <c r="H16" s="71" t="n">
        <v>5.3</v>
      </c>
      <c r="I16" s="71">
        <f>E16*H16</f>
        <v/>
      </c>
      <c r="J16" s="70" t="inlineStr">
        <is>
          <t>M.R. MR000753</t>
        </is>
      </c>
    </row>
    <row r="17" ht="15" customHeight="1" s="66">
      <c r="A17" s="70" t="n">
        <v>13</v>
      </c>
      <c r="B17" s="70" t="inlineStr">
        <is>
          <t>Syringe 5ml</t>
        </is>
      </c>
      <c r="C17" s="70" t="n"/>
      <c r="D17" s="70" t="inlineStr">
        <is>
          <t>No.</t>
        </is>
      </c>
      <c r="E17" s="70" t="n">
        <v>1</v>
      </c>
      <c r="F17" s="71" t="n">
        <v>10.23</v>
      </c>
      <c r="G17" s="71">
        <f>E17*F17</f>
        <v/>
      </c>
      <c r="H17" s="71" t="n">
        <v>3.5</v>
      </c>
      <c r="I17" s="71">
        <f>E17*H17</f>
        <v/>
      </c>
      <c r="J17" s="70" t="inlineStr">
        <is>
          <t>M.R. MR000539</t>
        </is>
      </c>
    </row>
    <row r="18" ht="15" customHeight="1" s="66">
      <c r="A18" s="70" t="n">
        <v>14</v>
      </c>
      <c r="B18" s="70" t="inlineStr">
        <is>
          <t>Syringe 2ml</t>
        </is>
      </c>
      <c r="C18" s="70" t="n"/>
      <c r="D18" s="70" t="inlineStr">
        <is>
          <t>No.</t>
        </is>
      </c>
      <c r="E18" s="70" t="n">
        <v>1</v>
      </c>
      <c r="F18" s="71" t="n">
        <v>8.449999999999999</v>
      </c>
      <c r="G18" s="71">
        <f>E18*F18</f>
        <v/>
      </c>
      <c r="H18" s="71" t="n">
        <v>2.3</v>
      </c>
      <c r="I18" s="71">
        <f>E18*H18</f>
        <v/>
      </c>
      <c r="J18" s="70" t="inlineStr">
        <is>
          <t>M.R. MR000753</t>
        </is>
      </c>
    </row>
    <row r="19" ht="15" customHeight="1" s="66">
      <c r="A19" s="126" t="inlineStr">
        <is>
          <t xml:space="preserve">  Subtotal — Consumables / Medicines</t>
        </is>
      </c>
      <c r="G19" s="127">
        <f>SUM(G5:G18)</f>
        <v/>
      </c>
      <c r="H19" s="128" t="n"/>
      <c r="I19" s="127">
        <f>SUM(I5:I18)</f>
        <v/>
      </c>
      <c r="J19" s="128" t="n"/>
    </row>
    <row r="21" ht="15" customHeight="1" s="66">
      <c r="A21" s="124" t="inlineStr">
        <is>
          <t xml:space="preserve">  SECTION B — ROOM / BED CHARGES</t>
        </is>
      </c>
    </row>
    <row r="22" ht="15" customHeight="1" s="66">
      <c r="A22" s="70" t="n">
        <v>1</v>
      </c>
      <c r="B22" s="70" t="inlineStr">
        <is>
          <t>Bed / Room Charges</t>
        </is>
      </c>
      <c r="C22" s="70" t="inlineStr">
        <is>
          <t>Ward</t>
        </is>
      </c>
      <c r="D22" s="70" t="inlineStr">
        <is>
          <t>Day</t>
        </is>
      </c>
      <c r="E22" s="70" t="n">
        <v>1</v>
      </c>
      <c r="F22" s="71" t="n">
        <v>1000</v>
      </c>
      <c r="G22" s="71">
        <f>E22*F22</f>
        <v/>
      </c>
      <c r="H22" s="70" t="inlineStr">
        <is>
          <t>—</t>
        </is>
      </c>
      <c r="I22" s="70" t="inlineStr">
        <is>
          <t>—</t>
        </is>
      </c>
      <c r="J22" s="70" t="inlineStr">
        <is>
          <t>Per sheet</t>
        </is>
      </c>
    </row>
    <row r="24" ht="15" customHeight="1" s="66">
      <c r="A24" s="124" t="inlineStr">
        <is>
          <t xml:space="preserve">  SECTION C — OT / PROCEDURE CHARGES</t>
        </is>
      </c>
    </row>
    <row r="25" ht="15" customHeight="1" s="66">
      <c r="A25" s="70" t="n">
        <v>1</v>
      </c>
      <c r="B25" s="70" t="inlineStr">
        <is>
          <t>OT / Procedure Charges</t>
        </is>
      </c>
      <c r="C25" s="70" t="inlineStr">
        <is>
          <t>Per procedure</t>
        </is>
      </c>
      <c r="D25" s="70" t="inlineStr">
        <is>
          <t>—</t>
        </is>
      </c>
      <c r="E25" s="70" t="n">
        <v>1</v>
      </c>
      <c r="F25" s="71" t="n">
        <v>1500</v>
      </c>
      <c r="G25" s="71">
        <f>E25*F25</f>
        <v/>
      </c>
      <c r="H25" s="70" t="inlineStr">
        <is>
          <t>—</t>
        </is>
      </c>
      <c r="I25" s="70" t="inlineStr">
        <is>
          <t>—</t>
        </is>
      </c>
      <c r="J25" s="70" t="inlineStr">
        <is>
          <t>Per sheet</t>
        </is>
      </c>
    </row>
    <row r="27" ht="15" customHeight="1" s="66">
      <c r="A27" s="72" t="inlineStr">
        <is>
          <t>GRAND TOTAL PATIENT BILL</t>
        </is>
      </c>
      <c r="G27" s="73">
        <f>G19+SUM(G22:G22)+SUM(G25:G25)</f>
        <v/>
      </c>
      <c r="H27" s="73">
        <f>I19</f>
        <v/>
      </c>
      <c r="I27" s="73">
        <f>G27-H27</f>
        <v/>
      </c>
      <c r="J27" s="72" t="inlineStr">
        <is>
          <t>Bill | Cost | Margin</t>
        </is>
      </c>
    </row>
  </sheetData>
  <mergeCells count="6">
    <mergeCell ref="A1:J1"/>
    <mergeCell ref="A19:F19"/>
    <mergeCell ref="A3:J3"/>
    <mergeCell ref="A27:F27"/>
    <mergeCell ref="A21:J21"/>
    <mergeCell ref="A24:J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Raju Mondal</t>
        </is>
      </c>
      <c r="E2" s="123" t="inlineStr">
        <is>
          <t>Doctor: Prof. Dr. S. Gupta</t>
        </is>
      </c>
      <c r="G2" s="123" t="inlineStr">
        <is>
          <t>Date: 26/06/2026</t>
        </is>
      </c>
      <c r="I2" s="123" t="inlineStr">
        <is>
          <t>Proc: Spinal — Urology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70" t="n">
        <v>1</v>
      </c>
      <c r="B5" s="70" t="inlineStr">
        <is>
          <t>Spinal Needle 25G (Spinocaine)</t>
        </is>
      </c>
      <c r="C5" s="70" t="n"/>
      <c r="D5" s="70" t="inlineStr">
        <is>
          <t>No.</t>
        </is>
      </c>
      <c r="E5" s="70" t="n">
        <v>1</v>
      </c>
      <c r="F5" s="71" t="n">
        <v>153</v>
      </c>
      <c r="G5" s="71">
        <f>E5*F5</f>
        <v/>
      </c>
      <c r="H5" s="71" t="n">
        <v>74.29000000000001</v>
      </c>
      <c r="I5" s="71">
        <f>E5*H5</f>
        <v/>
      </c>
      <c r="J5" s="70" t="inlineStr">
        <is>
          <t>S.S.B. S000092</t>
        </is>
      </c>
    </row>
    <row r="6" ht="15" customHeight="1" s="66">
      <c r="A6" s="70" t="n">
        <v>2</v>
      </c>
      <c r="B6" s="70" t="inlineStr">
        <is>
          <t>Syringe 2cc ×2</t>
        </is>
      </c>
      <c r="C6" s="70" t="n"/>
      <c r="D6" s="70" t="inlineStr">
        <is>
          <t>No.</t>
        </is>
      </c>
      <c r="E6" s="70" t="n">
        <v>2</v>
      </c>
      <c r="F6" s="71" t="n">
        <v>8.449999999999999</v>
      </c>
      <c r="G6" s="71">
        <f>E6*F6</f>
        <v/>
      </c>
      <c r="H6" s="71" t="n">
        <v>2.3</v>
      </c>
      <c r="I6" s="71">
        <f>E6*H6</f>
        <v/>
      </c>
      <c r="J6" s="70" t="inlineStr">
        <is>
          <t>M.R. MR000753</t>
        </is>
      </c>
    </row>
    <row r="7" ht="15" customHeight="1" s="66">
      <c r="A7" s="70" t="n">
        <v>3</v>
      </c>
      <c r="B7" s="70" t="inlineStr">
        <is>
          <t>Syringe 5cc ×2</t>
        </is>
      </c>
      <c r="C7" s="70" t="n"/>
      <c r="D7" s="70" t="inlineStr">
        <is>
          <t>No.</t>
        </is>
      </c>
      <c r="E7" s="70" t="n">
        <v>2</v>
      </c>
      <c r="F7" s="71" t="n">
        <v>10.23</v>
      </c>
      <c r="G7" s="71">
        <f>E7*F7</f>
        <v/>
      </c>
      <c r="H7" s="71" t="n">
        <v>3.5</v>
      </c>
      <c r="I7" s="71">
        <f>E7*H7</f>
        <v/>
      </c>
      <c r="J7" s="70" t="inlineStr">
        <is>
          <t>M.R. MR000539</t>
        </is>
      </c>
    </row>
    <row r="8" ht="15" customHeight="1" s="66">
      <c r="A8" s="70" t="n">
        <v>4</v>
      </c>
      <c r="B8" s="70" t="inlineStr">
        <is>
          <t>Syringe 10cc ×2</t>
        </is>
      </c>
      <c r="C8" s="70" t="n"/>
      <c r="D8" s="70" t="inlineStr">
        <is>
          <t>No.</t>
        </is>
      </c>
      <c r="E8" s="70" t="n">
        <v>2</v>
      </c>
      <c r="F8" s="71" t="n">
        <v>13.3</v>
      </c>
      <c r="G8" s="71">
        <f>E8*F8</f>
        <v/>
      </c>
      <c r="H8" s="71" t="n">
        <v>5.3</v>
      </c>
      <c r="I8" s="71">
        <f>E8*H8</f>
        <v/>
      </c>
      <c r="J8" s="70" t="inlineStr">
        <is>
          <t>M.R. MR000753</t>
        </is>
      </c>
    </row>
    <row r="9" ht="15" customHeight="1" s="66">
      <c r="A9" s="70" t="n">
        <v>5</v>
      </c>
      <c r="B9" s="70" t="inlineStr">
        <is>
          <t>Distilled Water 10ml ×2</t>
        </is>
      </c>
      <c r="C9" s="70" t="n"/>
      <c r="D9" s="70" t="inlineStr">
        <is>
          <t>No.</t>
        </is>
      </c>
      <c r="E9" s="70" t="n">
        <v>2</v>
      </c>
      <c r="F9" s="71" t="n">
        <v>3.24</v>
      </c>
      <c r="G9" s="71">
        <f>E9*F9</f>
        <v/>
      </c>
      <c r="H9" s="71" t="n">
        <v>2.51</v>
      </c>
      <c r="I9" s="71">
        <f>E9*H9</f>
        <v/>
      </c>
      <c r="J9" s="70" t="inlineStr">
        <is>
          <t>Vivekananda F/747</t>
        </is>
      </c>
    </row>
    <row r="10" ht="15" customHeight="1" s="66">
      <c r="A10" s="125" t="n">
        <v>6</v>
      </c>
      <c r="B10" s="125" t="inlineStr">
        <is>
          <t>Needles 18G ×2</t>
        </is>
      </c>
      <c r="C10" s="125" t="n"/>
      <c r="D10" s="125" t="inlineStr">
        <is>
          <t>No.</t>
        </is>
      </c>
      <c r="E10" s="125" t="n">
        <v>2</v>
      </c>
      <c r="F10" s="125" t="n">
        <v>3.38</v>
      </c>
      <c r="G10" s="125" t="n">
        <v>6.76</v>
      </c>
      <c r="H10" s="125" t="inlineStr">
        <is>
          <t>⚠</t>
        </is>
      </c>
      <c r="I10" s="125" t="inlineStr">
        <is>
          <t>⚠</t>
        </is>
      </c>
      <c r="J10" s="125" t="inlineStr">
        <is>
          <t>MRP filled; cost ⚠</t>
        </is>
      </c>
    </row>
    <row r="11" ht="15" customHeight="1" s="66">
      <c r="A11" s="129" t="n">
        <v>7</v>
      </c>
      <c r="B11" s="129" t="inlineStr">
        <is>
          <t>Inj. Zofar 2ml (Ondansetron)</t>
        </is>
      </c>
      <c r="C11" s="129" t="n"/>
      <c r="D11" s="129" t="inlineStr">
        <is>
          <t>No.</t>
        </is>
      </c>
      <c r="E11" s="129" t="n">
        <v>1</v>
      </c>
      <c r="F11" s="130" t="n">
        <v>146.25</v>
      </c>
      <c r="G11" s="130">
        <f>E11*F11</f>
        <v/>
      </c>
      <c r="H11" s="130" t="n">
        <v>109.52</v>
      </c>
      <c r="I11" s="130">
        <f>E11*H11</f>
        <v/>
      </c>
      <c r="J11" s="129" t="inlineStr">
        <is>
          <t>⚠ MRP OUTLIER — verify batch; S.S.B. S000670</t>
        </is>
      </c>
    </row>
    <row r="12" ht="15" customHeight="1" s="66">
      <c r="A12" s="70" t="n">
        <v>8</v>
      </c>
      <c r="B12" s="70" t="inlineStr">
        <is>
          <t>Inj. Anawin Heavy 4ml</t>
        </is>
      </c>
      <c r="C12" s="70" t="n"/>
      <c r="D12" s="70" t="inlineStr">
        <is>
          <t>No.</t>
        </is>
      </c>
      <c r="E12" s="70" t="n">
        <v>1</v>
      </c>
      <c r="F12" s="71" t="n">
        <v>31.47</v>
      </c>
      <c r="G12" s="71">
        <f>E12*F12</f>
        <v/>
      </c>
      <c r="H12" s="71" t="n">
        <v>24.76</v>
      </c>
      <c r="I12" s="71">
        <f>E12*H12</f>
        <v/>
      </c>
      <c r="J12" s="70" t="inlineStr">
        <is>
          <t>S.S.B. S000092</t>
        </is>
      </c>
    </row>
    <row r="13" ht="15" customHeight="1" s="66">
      <c r="A13" s="70" t="n">
        <v>9</v>
      </c>
      <c r="B13" s="70" t="inlineStr">
        <is>
          <t>Inj. Lox 2% Adrenaline</t>
        </is>
      </c>
      <c r="C13" s="70" t="n"/>
      <c r="D13" s="70" t="inlineStr">
        <is>
          <t>No.</t>
        </is>
      </c>
      <c r="E13" s="70" t="n">
        <v>1</v>
      </c>
      <c r="F13" s="71" t="n">
        <v>33.3</v>
      </c>
      <c r="G13" s="71">
        <f>E13*F13</f>
        <v/>
      </c>
      <c r="H13" s="71" t="n">
        <v>25.24</v>
      </c>
      <c r="I13" s="71">
        <f>E13*H13</f>
        <v/>
      </c>
      <c r="J13" s="70" t="inlineStr">
        <is>
          <t>S.S.B. S000645</t>
        </is>
      </c>
    </row>
    <row r="14" ht="15" customHeight="1" s="66">
      <c r="A14" s="70" t="n">
        <v>10</v>
      </c>
      <c r="B14" s="70" t="inlineStr">
        <is>
          <t>Foley's Catheter 18 No.</t>
        </is>
      </c>
      <c r="C14" s="70" t="n"/>
      <c r="D14" s="70" t="inlineStr">
        <is>
          <t>No.</t>
        </is>
      </c>
      <c r="E14" s="70" t="n">
        <v>1</v>
      </c>
      <c r="F14" s="71" t="n">
        <v>163.13</v>
      </c>
      <c r="G14" s="71">
        <f>E14*F14</f>
        <v/>
      </c>
      <c r="H14" s="71" t="n">
        <v>120.95</v>
      </c>
      <c r="I14" s="71">
        <f>E14*H14</f>
        <v/>
      </c>
      <c r="J14" s="70" t="inlineStr">
        <is>
          <t>Vivekananda F/684</t>
        </is>
      </c>
    </row>
    <row r="15" ht="15" customHeight="1" s="66">
      <c r="A15" s="70" t="n">
        <v>11</v>
      </c>
      <c r="B15" s="70" t="inlineStr">
        <is>
          <t>Urobag</t>
        </is>
      </c>
      <c r="C15" s="70" t="n"/>
      <c r="D15" s="70" t="inlineStr">
        <is>
          <t>No.</t>
        </is>
      </c>
      <c r="E15" s="70" t="n">
        <v>1</v>
      </c>
      <c r="F15" s="71" t="n">
        <v>361</v>
      </c>
      <c r="G15" s="71">
        <f>E15*F15</f>
        <v/>
      </c>
      <c r="H15" s="71" t="n">
        <v>35</v>
      </c>
      <c r="I15" s="71">
        <f>E15*H15</f>
        <v/>
      </c>
      <c r="J15" s="70" t="inlineStr">
        <is>
          <t>Vivekananda F/747</t>
        </is>
      </c>
    </row>
    <row r="16" ht="15" customHeight="1" s="66">
      <c r="A16" s="125" t="n">
        <v>12</v>
      </c>
      <c r="B16" s="125" t="inlineStr">
        <is>
          <t>Gauze Pieces ×15</t>
        </is>
      </c>
      <c r="C16" s="125" t="n"/>
      <c r="D16" s="125" t="inlineStr">
        <is>
          <t>No.</t>
        </is>
      </c>
      <c r="E16" s="125" t="n">
        <v>15</v>
      </c>
      <c r="F16" s="125" t="n">
        <v>14</v>
      </c>
      <c r="G16" s="125" t="n">
        <v>210</v>
      </c>
      <c r="H16" s="125" t="n">
        <v>5.46</v>
      </c>
      <c r="I16" s="125" t="n">
        <v>81.90000000000001</v>
      </c>
      <c r="J16" s="125" t="inlineStr">
        <is>
          <t>Filled from stock/rate card</t>
        </is>
      </c>
    </row>
    <row r="17" ht="15" customHeight="1" s="66">
      <c r="A17" s="70" t="n">
        <v>13</v>
      </c>
      <c r="B17" s="70" t="inlineStr">
        <is>
          <t>OT Mop / Abd. Swab</t>
        </is>
      </c>
      <c r="C17" s="70" t="n"/>
      <c r="D17" s="70" t="inlineStr">
        <is>
          <t>No.</t>
        </is>
      </c>
      <c r="E17" s="70" t="n">
        <v>1</v>
      </c>
      <c r="F17" s="71" t="n">
        <v>95</v>
      </c>
      <c r="G17" s="71">
        <f>E17*F17</f>
        <v/>
      </c>
      <c r="H17" s="71" t="n">
        <v>40.15</v>
      </c>
      <c r="I17" s="71">
        <f>E17*H17</f>
        <v/>
      </c>
      <c r="J17" s="70" t="inlineStr">
        <is>
          <t>B.P. 349</t>
        </is>
      </c>
    </row>
    <row r="18" ht="15" customHeight="1" s="66">
      <c r="A18" s="125" t="n">
        <v>14</v>
      </c>
      <c r="B18" s="125" t="inlineStr">
        <is>
          <t>2% Xylocaine Jelly ×2</t>
        </is>
      </c>
      <c r="C18" s="125" t="n"/>
      <c r="D18" s="125" t="inlineStr">
        <is>
          <t>No.</t>
        </is>
      </c>
      <c r="E18" s="125" t="n">
        <v>2</v>
      </c>
      <c r="F18" s="125" t="n">
        <v>34.58</v>
      </c>
      <c r="G18" s="125" t="n">
        <v>69.16</v>
      </c>
      <c r="H18" s="125" t="n">
        <v>27</v>
      </c>
      <c r="I18" s="125" t="n">
        <v>54</v>
      </c>
      <c r="J18" s="125" t="inlineStr">
        <is>
          <t>Filled from stock/rate card</t>
        </is>
      </c>
    </row>
    <row r="19" ht="15" customHeight="1" s="66">
      <c r="A19" s="125" t="n">
        <v>15</v>
      </c>
      <c r="B19" s="125" t="inlineStr">
        <is>
          <t>Sterilium 25ml</t>
        </is>
      </c>
      <c r="C19" s="125" t="n"/>
      <c r="D19" s="125" t="inlineStr">
        <is>
          <t>No.</t>
        </is>
      </c>
      <c r="E19" s="125" t="n">
        <v>1</v>
      </c>
      <c r="F19" s="125" t="n">
        <v>150</v>
      </c>
      <c r="G19" s="125" t="n">
        <v>150</v>
      </c>
      <c r="H19" s="125" t="n">
        <v>38.1</v>
      </c>
      <c r="I19" s="125" t="n">
        <v>38.1</v>
      </c>
      <c r="J19" s="125" t="inlineStr">
        <is>
          <t>Filled from stock/rate card</t>
        </is>
      </c>
    </row>
    <row r="20" ht="15" customHeight="1" s="66">
      <c r="A20" s="70" t="n">
        <v>16</v>
      </c>
      <c r="B20" s="70" t="inlineStr">
        <is>
          <t>NS 1000ml ×5</t>
        </is>
      </c>
      <c r="C20" s="70" t="n"/>
      <c r="D20" s="70" t="inlineStr">
        <is>
          <t>No.</t>
        </is>
      </c>
      <c r="E20" s="70" t="n">
        <v>5</v>
      </c>
      <c r="F20" s="71" t="n">
        <v>61.17</v>
      </c>
      <c r="G20" s="71">
        <f>E20*F20</f>
        <v/>
      </c>
      <c r="H20" s="71" t="n">
        <v>30.48</v>
      </c>
      <c r="I20" s="71">
        <f>E20*H20</f>
        <v/>
      </c>
      <c r="J20" s="70" t="inlineStr">
        <is>
          <t>S.S.B. S000645</t>
        </is>
      </c>
    </row>
    <row r="21" ht="15" customHeight="1" s="66">
      <c r="A21" s="70" t="n">
        <v>17</v>
      </c>
      <c r="B21" s="70" t="inlineStr">
        <is>
          <t>NS 500ml ×5</t>
        </is>
      </c>
      <c r="C21" s="70" t="n"/>
      <c r="D21" s="70" t="inlineStr">
        <is>
          <t>No.</t>
        </is>
      </c>
      <c r="E21" s="70" t="n">
        <v>5</v>
      </c>
      <c r="F21" s="71" t="n">
        <v>36.6</v>
      </c>
      <c r="G21" s="71">
        <f>E21*F21</f>
        <v/>
      </c>
      <c r="H21" s="71" t="n">
        <v>17.62</v>
      </c>
      <c r="I21" s="71">
        <f>E21*H21</f>
        <v/>
      </c>
      <c r="J21" s="70" t="inlineStr">
        <is>
          <t>S.S.B. S000645</t>
        </is>
      </c>
    </row>
    <row r="22" ht="15" customHeight="1" s="66">
      <c r="A22" s="70" t="n">
        <v>18</v>
      </c>
      <c r="B22" s="70" t="inlineStr">
        <is>
          <t>Betadine Lotion 100ml</t>
        </is>
      </c>
      <c r="C22" s="70" t="n"/>
      <c r="D22" s="70" t="inlineStr">
        <is>
          <t>No.</t>
        </is>
      </c>
      <c r="E22" s="70" t="n">
        <v>1</v>
      </c>
      <c r="F22" s="71" t="n">
        <v>151.33</v>
      </c>
      <c r="G22" s="71">
        <f>E22*F22</f>
        <v/>
      </c>
      <c r="H22" s="71" t="n">
        <v>85.70999999999999</v>
      </c>
      <c r="I22" s="71">
        <f>E22*H22</f>
        <v/>
      </c>
      <c r="J22" s="70" t="inlineStr">
        <is>
          <t>S.S.B. S000645</t>
        </is>
      </c>
    </row>
    <row r="23" ht="15" customHeight="1" s="66">
      <c r="A23" s="70" t="n">
        <v>19</v>
      </c>
      <c r="B23" s="70" t="inlineStr">
        <is>
          <t>Betadine Scrub 100ml ×2</t>
        </is>
      </c>
      <c r="C23" s="70" t="n"/>
      <c r="D23" s="70" t="inlineStr">
        <is>
          <t>No.</t>
        </is>
      </c>
      <c r="E23" s="70" t="n">
        <v>2</v>
      </c>
      <c r="F23" s="71" t="n">
        <v>151.33</v>
      </c>
      <c r="G23" s="71">
        <f>E23*F23</f>
        <v/>
      </c>
      <c r="H23" s="71" t="n">
        <v>85.70999999999999</v>
      </c>
      <c r="I23" s="71">
        <f>E23*H23</f>
        <v/>
      </c>
      <c r="J23" s="70" t="inlineStr">
        <is>
          <t>S.S.B. S000645</t>
        </is>
      </c>
    </row>
    <row r="24" ht="15" customHeight="1" s="66">
      <c r="A24" s="125" t="n">
        <v>20</v>
      </c>
      <c r="B24" s="125" t="inlineStr">
        <is>
          <t>Cap + Mask ×4</t>
        </is>
      </c>
      <c r="C24" s="125" t="n"/>
      <c r="D24" s="125" t="inlineStr">
        <is>
          <t>No.</t>
        </is>
      </c>
      <c r="E24" s="125" t="n">
        <v>4</v>
      </c>
      <c r="F24" s="125" t="n">
        <v>25</v>
      </c>
      <c r="G24" s="125" t="n">
        <v>100</v>
      </c>
      <c r="H24" s="125" t="inlineStr">
        <is>
          <t>⚠</t>
        </is>
      </c>
      <c r="I24" s="125" t="inlineStr">
        <is>
          <t>⚠</t>
        </is>
      </c>
      <c r="J24" s="125" t="inlineStr">
        <is>
          <t>MRP filled; cost ⚠</t>
        </is>
      </c>
    </row>
    <row r="25" ht="15" customHeight="1" s="66">
      <c r="A25" s="70" t="n">
        <v>21</v>
      </c>
      <c r="B25" s="70" t="inlineStr">
        <is>
          <t>Gloves 7.0 ×3</t>
        </is>
      </c>
      <c r="C25" s="70" t="n"/>
      <c r="D25" s="70" t="inlineStr">
        <is>
          <t>No.</t>
        </is>
      </c>
      <c r="E25" s="70" t="n">
        <v>3</v>
      </c>
      <c r="F25" s="71" t="n">
        <v>91</v>
      </c>
      <c r="G25" s="71">
        <f>E25*F25</f>
        <v/>
      </c>
      <c r="H25" s="71" t="n">
        <v>19.06</v>
      </c>
      <c r="I25" s="71">
        <f>E25*H25</f>
        <v/>
      </c>
      <c r="J25" s="70" t="inlineStr">
        <is>
          <t>Vivekananda F/747</t>
        </is>
      </c>
    </row>
    <row r="26" ht="15" customHeight="1" s="66">
      <c r="A26" s="125" t="n">
        <v>22</v>
      </c>
      <c r="B26" s="125" t="inlineStr">
        <is>
          <t>Surgical Blade No. 20</t>
        </is>
      </c>
      <c r="C26" s="125" t="n"/>
      <c r="D26" s="125" t="inlineStr">
        <is>
          <t>No.</t>
        </is>
      </c>
      <c r="E26" s="125" t="n">
        <v>1</v>
      </c>
      <c r="F26" s="125" t="n">
        <v>750</v>
      </c>
      <c r="G26" s="125" t="n">
        <v>750</v>
      </c>
      <c r="H26" s="125" t="inlineStr">
        <is>
          <t>⚠</t>
        </is>
      </c>
      <c r="I26" s="125" t="inlineStr">
        <is>
          <t>⚠</t>
        </is>
      </c>
      <c r="J26" s="125" t="inlineStr">
        <is>
          <t>MRP filled; cost ⚠</t>
        </is>
      </c>
    </row>
    <row r="27" ht="15" customHeight="1" s="66">
      <c r="A27" s="70" t="n">
        <v>23</v>
      </c>
      <c r="B27" s="70" t="inlineStr">
        <is>
          <t>IV Set (Sangoflex)</t>
        </is>
      </c>
      <c r="C27" s="70" t="n"/>
      <c r="D27" s="70" t="inlineStr">
        <is>
          <t>No.</t>
        </is>
      </c>
      <c r="E27" s="70" t="n">
        <v>1</v>
      </c>
      <c r="F27" s="71" t="n">
        <v>201</v>
      </c>
      <c r="G27" s="71">
        <f>E27*F27</f>
        <v/>
      </c>
      <c r="H27" s="71" t="n">
        <v>11.9</v>
      </c>
      <c r="I27" s="71">
        <f>E27*H27</f>
        <v/>
      </c>
      <c r="J27" s="70" t="inlineStr">
        <is>
          <t>S.S.B. S000400</t>
        </is>
      </c>
    </row>
    <row r="28" ht="15" customHeight="1" s="66">
      <c r="A28" s="70" t="n">
        <v>24</v>
      </c>
      <c r="B28" s="70" t="inlineStr">
        <is>
          <t>NS 500ml ×2</t>
        </is>
      </c>
      <c r="C28" s="70" t="n"/>
      <c r="D28" s="70" t="inlineStr">
        <is>
          <t>No.</t>
        </is>
      </c>
      <c r="E28" s="70" t="n">
        <v>2</v>
      </c>
      <c r="F28" s="71" t="n">
        <v>36.6</v>
      </c>
      <c r="G28" s="71">
        <f>E28*F28</f>
        <v/>
      </c>
      <c r="H28" s="71" t="n">
        <v>17.62</v>
      </c>
      <c r="I28" s="71">
        <f>E28*H28</f>
        <v/>
      </c>
      <c r="J28" s="70" t="inlineStr">
        <is>
          <t>S.S.B. S000645</t>
        </is>
      </c>
    </row>
    <row r="29" ht="15" customHeight="1" s="66">
      <c r="A29" s="70" t="n">
        <v>25</v>
      </c>
      <c r="B29" s="70" t="inlineStr">
        <is>
          <t>IV Cannula 20G ×2</t>
        </is>
      </c>
      <c r="C29" s="70" t="n"/>
      <c r="D29" s="70" t="inlineStr">
        <is>
          <t>No.</t>
        </is>
      </c>
      <c r="E29" s="70" t="n">
        <v>2</v>
      </c>
      <c r="F29" s="71" t="n">
        <v>198</v>
      </c>
      <c r="G29" s="71">
        <f>E29*F29</f>
        <v/>
      </c>
      <c r="H29" s="71" t="n">
        <v>7.14</v>
      </c>
      <c r="I29" s="71">
        <f>E29*H29</f>
        <v/>
      </c>
      <c r="J29" s="70" t="inlineStr">
        <is>
          <t>S.S.B. S000399</t>
        </is>
      </c>
    </row>
    <row r="30" ht="15" customHeight="1" s="66">
      <c r="A30" s="70" t="n">
        <v>26</v>
      </c>
      <c r="B30" s="70" t="inlineStr">
        <is>
          <t>Inj. Monocef 1g (Ceftriaxone) ×3</t>
        </is>
      </c>
      <c r="C30" s="70" t="n"/>
      <c r="D30" s="70" t="inlineStr">
        <is>
          <t>No.</t>
        </is>
      </c>
      <c r="E30" s="70" t="n">
        <v>3</v>
      </c>
      <c r="F30" s="71" t="n">
        <v>66.64</v>
      </c>
      <c r="G30" s="71">
        <f>E30*F30</f>
        <v/>
      </c>
      <c r="H30" s="71" t="n">
        <v>25.71</v>
      </c>
      <c r="I30" s="71">
        <f>E30*H30</f>
        <v/>
      </c>
      <c r="J30" s="70" t="inlineStr">
        <is>
          <t>S.S.B. S000135</t>
        </is>
      </c>
    </row>
    <row r="31" ht="15" customHeight="1" s="66">
      <c r="A31" s="70" t="n">
        <v>27</v>
      </c>
      <c r="B31" s="70" t="inlineStr">
        <is>
          <t>Syringe 10ml</t>
        </is>
      </c>
      <c r="C31" s="70" t="n"/>
      <c r="D31" s="70" t="inlineStr">
        <is>
          <t>No.</t>
        </is>
      </c>
      <c r="E31" s="70" t="n">
        <v>1</v>
      </c>
      <c r="F31" s="71" t="n">
        <v>13.3</v>
      </c>
      <c r="G31" s="71">
        <f>E31*F31</f>
        <v/>
      </c>
      <c r="H31" s="71" t="n">
        <v>5.3</v>
      </c>
      <c r="I31" s="71">
        <f>E31*H31</f>
        <v/>
      </c>
      <c r="J31" s="70" t="inlineStr">
        <is>
          <t>M.R. MR000753</t>
        </is>
      </c>
    </row>
    <row r="32" ht="15" customHeight="1" s="66">
      <c r="A32" s="70" t="n">
        <v>28</v>
      </c>
      <c r="B32" s="70" t="inlineStr">
        <is>
          <t>Syringe 5ml</t>
        </is>
      </c>
      <c r="C32" s="70" t="n"/>
      <c r="D32" s="70" t="inlineStr">
        <is>
          <t>No.</t>
        </is>
      </c>
      <c r="E32" s="70" t="n">
        <v>1</v>
      </c>
      <c r="F32" s="71" t="n">
        <v>10.23</v>
      </c>
      <c r="G32" s="71">
        <f>E32*F32</f>
        <v/>
      </c>
      <c r="H32" s="71" t="n">
        <v>3.5</v>
      </c>
      <c r="I32" s="71">
        <f>E32*H32</f>
        <v/>
      </c>
      <c r="J32" s="70" t="inlineStr">
        <is>
          <t>M.R. MR000539</t>
        </is>
      </c>
    </row>
    <row r="33" ht="15" customHeight="1" s="66">
      <c r="A33" s="125" t="n">
        <v>29</v>
      </c>
      <c r="B33" s="125" t="inlineStr">
        <is>
          <t>Cap + Mask</t>
        </is>
      </c>
      <c r="C33" s="125" t="n"/>
      <c r="D33" s="125" t="inlineStr">
        <is>
          <t>No.</t>
        </is>
      </c>
      <c r="E33" s="125" t="n">
        <v>1</v>
      </c>
      <c r="F33" s="125" t="n">
        <v>25</v>
      </c>
      <c r="G33" s="125" t="n">
        <v>25</v>
      </c>
      <c r="H33" s="125" t="inlineStr">
        <is>
          <t>⚠</t>
        </is>
      </c>
      <c r="I33" s="125" t="inlineStr">
        <is>
          <t>⚠</t>
        </is>
      </c>
      <c r="J33" s="125" t="inlineStr">
        <is>
          <t>MRP filled; cost ⚠</t>
        </is>
      </c>
    </row>
    <row r="34" ht="15" customHeight="1" s="66">
      <c r="A34" s="125" t="n">
        <v>30</v>
      </c>
      <c r="B34" s="125" t="inlineStr">
        <is>
          <t>CBG Blood Glucose Test</t>
        </is>
      </c>
      <c r="C34" s="125" t="n"/>
      <c r="D34" s="125" t="inlineStr">
        <is>
          <t>No.</t>
        </is>
      </c>
      <c r="E34" s="125" t="n">
        <v>1</v>
      </c>
      <c r="F34" s="125" t="n">
        <v>785</v>
      </c>
      <c r="G34" s="125" t="n">
        <v>785</v>
      </c>
      <c r="H34" s="125" t="inlineStr">
        <is>
          <t>⚠</t>
        </is>
      </c>
      <c r="I34" s="125" t="inlineStr">
        <is>
          <t>⚠</t>
        </is>
      </c>
      <c r="J34" s="125" t="inlineStr">
        <is>
          <t>MRP filled; cost ⚠</t>
        </is>
      </c>
    </row>
    <row r="35" ht="15" customHeight="1" s="66">
      <c r="A35" s="70" t="n">
        <v>31</v>
      </c>
      <c r="B35" s="70" t="inlineStr">
        <is>
          <t>Easyfix</t>
        </is>
      </c>
      <c r="C35" s="70" t="n"/>
      <c r="D35" s="70" t="inlineStr">
        <is>
          <t>No.</t>
        </is>
      </c>
      <c r="E35" s="70" t="n">
        <v>1</v>
      </c>
      <c r="F35" s="71" t="n">
        <v>80.59999999999999</v>
      </c>
      <c r="G35" s="71">
        <f>E35*F35</f>
        <v/>
      </c>
      <c r="H35" s="71" t="n">
        <v>42.86</v>
      </c>
      <c r="I35" s="71">
        <f>E35*H35</f>
        <v/>
      </c>
      <c r="J35" s="70" t="inlineStr">
        <is>
          <t>S.S.B. S000293</t>
        </is>
      </c>
    </row>
    <row r="36" ht="15" customHeight="1" s="66">
      <c r="A36" s="70" t="n">
        <v>32</v>
      </c>
      <c r="B36" s="70" t="inlineStr">
        <is>
          <t>Syringe 2ml</t>
        </is>
      </c>
      <c r="C36" s="70" t="n"/>
      <c r="D36" s="70" t="inlineStr">
        <is>
          <t>No.</t>
        </is>
      </c>
      <c r="E36" s="70" t="n">
        <v>1</v>
      </c>
      <c r="F36" s="71" t="n">
        <v>8.449999999999999</v>
      </c>
      <c r="G36" s="71">
        <f>E36*F36</f>
        <v/>
      </c>
      <c r="H36" s="71" t="n">
        <v>2.3</v>
      </c>
      <c r="I36" s="71">
        <f>E36*H36</f>
        <v/>
      </c>
      <c r="J36" s="70" t="inlineStr">
        <is>
          <t>M.R. MR000753</t>
        </is>
      </c>
    </row>
    <row r="37" ht="15" customHeight="1" s="66">
      <c r="A37" s="70" t="n">
        <v>33</v>
      </c>
      <c r="B37" s="70" t="inlineStr">
        <is>
          <t>Inj. Rantac (Ranitidine) ×2</t>
        </is>
      </c>
      <c r="C37" s="70" t="n"/>
      <c r="D37" s="70" t="inlineStr">
        <is>
          <t>No.</t>
        </is>
      </c>
      <c r="E37" s="70" t="n">
        <v>2</v>
      </c>
      <c r="F37" s="71" t="n">
        <v>7.48</v>
      </c>
      <c r="G37" s="71">
        <f>E37*F37</f>
        <v/>
      </c>
      <c r="H37" s="71" t="n">
        <v>4.98</v>
      </c>
      <c r="I37" s="71">
        <f>E37*H37</f>
        <v/>
      </c>
      <c r="J37" s="70" t="inlineStr">
        <is>
          <t>M.R. MR000816</t>
        </is>
      </c>
    </row>
    <row r="38" ht="15" customHeight="1" s="66">
      <c r="A38" s="125" t="n">
        <v>34</v>
      </c>
      <c r="B38" s="125" t="inlineStr">
        <is>
          <t>Tab. PCM 650mg — 1 Strip</t>
        </is>
      </c>
      <c r="C38" s="125" t="n"/>
      <c r="D38" s="125" t="inlineStr">
        <is>
          <t>No.</t>
        </is>
      </c>
      <c r="E38" s="125" t="n">
        <v>1</v>
      </c>
      <c r="F38" s="125" t="inlineStr">
        <is>
          <t>⚠</t>
        </is>
      </c>
      <c r="G38" s="125" t="inlineStr">
        <is>
          <t>⚠</t>
        </is>
      </c>
      <c r="H38" s="125" t="inlineStr">
        <is>
          <t>⚠</t>
        </is>
      </c>
      <c r="I38" s="125" t="inlineStr">
        <is>
          <t>⚠</t>
        </is>
      </c>
      <c r="J38" s="125" t="inlineStr">
        <is>
          <t>⚠ MRP NOT FOUND — fill in manually</t>
        </is>
      </c>
    </row>
    <row r="39" ht="15" customHeight="1" s="66">
      <c r="A39" s="126" t="inlineStr">
        <is>
          <t xml:space="preserve">  Subtotal — Consumables / Medicines</t>
        </is>
      </c>
      <c r="G39" s="127">
        <f>SUM(G5:G38)</f>
        <v/>
      </c>
      <c r="H39" s="128" t="n"/>
      <c r="I39" s="127">
        <f>SUM(I5:I38)</f>
        <v/>
      </c>
      <c r="J39" s="128" t="n"/>
    </row>
    <row r="41" ht="15" customHeight="1" s="66">
      <c r="A41" s="124" t="inlineStr">
        <is>
          <t xml:space="preserve">  SECTION B — ROOM / BED CHARGES</t>
        </is>
      </c>
    </row>
    <row r="42" ht="15" customHeight="1" s="66">
      <c r="A42" s="70" t="n">
        <v>1</v>
      </c>
      <c r="B42" s="70" t="inlineStr">
        <is>
          <t>Bed / Room Charges</t>
        </is>
      </c>
      <c r="C42" s="70" t="inlineStr">
        <is>
          <t>Ward</t>
        </is>
      </c>
      <c r="D42" s="70" t="inlineStr">
        <is>
          <t>Day</t>
        </is>
      </c>
      <c r="E42" s="70" t="n">
        <v>2</v>
      </c>
      <c r="F42" s="71" t="n">
        <v>1000</v>
      </c>
      <c r="G42" s="71">
        <f>E42*F42</f>
        <v/>
      </c>
      <c r="H42" s="70" t="inlineStr">
        <is>
          <t>—</t>
        </is>
      </c>
      <c r="I42" s="70" t="inlineStr">
        <is>
          <t>—</t>
        </is>
      </c>
      <c r="J42" s="70" t="inlineStr">
        <is>
          <t>Per sheet</t>
        </is>
      </c>
    </row>
    <row r="44" ht="15" customHeight="1" s="66">
      <c r="A44" s="124" t="inlineStr">
        <is>
          <t xml:space="preserve">  SECTION C — OT / PROCEDURE CHARGES</t>
        </is>
      </c>
    </row>
    <row r="45" ht="15" customHeight="1" s="66">
      <c r="A45" s="70" t="n">
        <v>1</v>
      </c>
      <c r="B45" s="70" t="inlineStr">
        <is>
          <t>OT / Procedure Charges</t>
        </is>
      </c>
      <c r="C45" s="70" t="inlineStr">
        <is>
          <t>Per procedure</t>
        </is>
      </c>
      <c r="D45" s="70" t="inlineStr">
        <is>
          <t>—</t>
        </is>
      </c>
      <c r="E45" s="70" t="n">
        <v>1</v>
      </c>
      <c r="F45" s="71" t="n">
        <v>1500</v>
      </c>
      <c r="G45" s="71">
        <f>E45*F45</f>
        <v/>
      </c>
      <c r="H45" s="70" t="inlineStr">
        <is>
          <t>—</t>
        </is>
      </c>
      <c r="I45" s="70" t="inlineStr">
        <is>
          <t>—</t>
        </is>
      </c>
      <c r="J45" s="70" t="inlineStr">
        <is>
          <t>Per sheet</t>
        </is>
      </c>
    </row>
    <row r="47" ht="15" customHeight="1" s="66">
      <c r="A47" s="72" t="inlineStr">
        <is>
          <t>GRAND TOTAL PATIENT BILL</t>
        </is>
      </c>
      <c r="G47" s="73">
        <f>G39+SUM(G42:G42)+SUM(G45:G45)</f>
        <v/>
      </c>
      <c r="H47" s="73">
        <f>I39</f>
        <v/>
      </c>
      <c r="I47" s="73">
        <f>G47-H47</f>
        <v/>
      </c>
      <c r="J47" s="72" t="inlineStr">
        <is>
          <t>Bill | Cost | Margin</t>
        </is>
      </c>
    </row>
  </sheetData>
  <mergeCells count="6">
    <mergeCell ref="A44:J44"/>
    <mergeCell ref="A1:J1"/>
    <mergeCell ref="A47:F47"/>
    <mergeCell ref="A3:J3"/>
    <mergeCell ref="A39:F39"/>
    <mergeCell ref="A41:J4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J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Parul Bala Mondal</t>
        </is>
      </c>
      <c r="E2" s="123" t="inlineStr">
        <is>
          <t>Doctor: Dr. Asif Iqbal</t>
        </is>
      </c>
      <c r="G2" s="123" t="inlineStr">
        <is>
          <t>Date: 06/07/2026</t>
        </is>
      </c>
      <c r="I2" s="123" t="inlineStr">
        <is>
          <t>Proc: CB/Calculus Bladder Stone — GA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70" t="n">
        <v>1</v>
      </c>
      <c r="B5" s="70" t="inlineStr">
        <is>
          <t>Needles 18G + 26G ×3</t>
        </is>
      </c>
      <c r="C5" s="70" t="n"/>
      <c r="D5" s="70" t="inlineStr">
        <is>
          <t>No.</t>
        </is>
      </c>
      <c r="E5" s="70" t="n">
        <v>3</v>
      </c>
      <c r="F5" s="71" t="n">
        <v>243.75</v>
      </c>
      <c r="G5" s="71">
        <f>E5*F5</f>
        <v/>
      </c>
      <c r="H5" s="71" t="n">
        <v>80.95</v>
      </c>
      <c r="I5" s="71">
        <f>E5*H5</f>
        <v/>
      </c>
      <c r="J5" s="70" t="inlineStr">
        <is>
          <t>S.S.B. S000092</t>
        </is>
      </c>
    </row>
    <row r="6" ht="15" customHeight="1" s="66">
      <c r="A6" s="125" t="n">
        <v>2</v>
      </c>
      <c r="B6" s="125" t="inlineStr">
        <is>
          <t>Cap + Mask ×1</t>
        </is>
      </c>
      <c r="C6" s="125" t="n"/>
      <c r="D6" s="125" t="inlineStr">
        <is>
          <t>No.</t>
        </is>
      </c>
      <c r="E6" s="125" t="n">
        <v>1</v>
      </c>
      <c r="F6" s="125" t="n">
        <v>25</v>
      </c>
      <c r="G6" s="125" t="n">
        <v>25</v>
      </c>
      <c r="H6" s="125" t="inlineStr">
        <is>
          <t>⚠</t>
        </is>
      </c>
      <c r="I6" s="125" t="inlineStr">
        <is>
          <t>⚠</t>
        </is>
      </c>
      <c r="J6" s="125" t="inlineStr">
        <is>
          <t>MRP filled; cost ⚠</t>
        </is>
      </c>
    </row>
    <row r="7" ht="15" customHeight="1" s="66">
      <c r="A7" s="70" t="n">
        <v>3</v>
      </c>
      <c r="B7" s="70" t="inlineStr">
        <is>
          <t>Syringe 5cc ×2</t>
        </is>
      </c>
      <c r="C7" s="70" t="n"/>
      <c r="D7" s="70" t="inlineStr">
        <is>
          <t>No.</t>
        </is>
      </c>
      <c r="E7" s="70" t="n">
        <v>2</v>
      </c>
      <c r="F7" s="71" t="n">
        <v>10.23</v>
      </c>
      <c r="G7" s="71">
        <f>E7*F7</f>
        <v/>
      </c>
      <c r="H7" s="71" t="n">
        <v>3.5</v>
      </c>
      <c r="I7" s="71">
        <f>E7*H7</f>
        <v/>
      </c>
      <c r="J7" s="70" t="inlineStr">
        <is>
          <t>M.R. MR000539</t>
        </is>
      </c>
    </row>
    <row r="8" ht="15" customHeight="1" s="66">
      <c r="A8" s="70" t="n">
        <v>4</v>
      </c>
      <c r="B8" s="70" t="inlineStr">
        <is>
          <t>Syringe 10cc ×2</t>
        </is>
      </c>
      <c r="C8" s="70" t="n"/>
      <c r="D8" s="70" t="inlineStr">
        <is>
          <t>No.</t>
        </is>
      </c>
      <c r="E8" s="70" t="n">
        <v>2</v>
      </c>
      <c r="F8" s="71" t="n">
        <v>13.3</v>
      </c>
      <c r="G8" s="71">
        <f>E8*F8</f>
        <v/>
      </c>
      <c r="H8" s="71" t="n">
        <v>5.3</v>
      </c>
      <c r="I8" s="71">
        <f>E8*H8</f>
        <v/>
      </c>
      <c r="J8" s="70" t="inlineStr">
        <is>
          <t>M.R. MR000753</t>
        </is>
      </c>
    </row>
    <row r="9" ht="15" customHeight="1" s="66">
      <c r="A9" s="70" t="n">
        <v>5</v>
      </c>
      <c r="B9" s="70" t="inlineStr">
        <is>
          <t>Distilled Water 10ml ×4</t>
        </is>
      </c>
      <c r="C9" s="70" t="n"/>
      <c r="D9" s="70" t="inlineStr">
        <is>
          <t>No.</t>
        </is>
      </c>
      <c r="E9" s="70" t="n">
        <v>4</v>
      </c>
      <c r="F9" s="71" t="n">
        <v>3.24</v>
      </c>
      <c r="G9" s="71">
        <f>E9*F9</f>
        <v/>
      </c>
      <c r="H9" s="71" t="n">
        <v>2.51</v>
      </c>
      <c r="I9" s="71">
        <f>E9*H9</f>
        <v/>
      </c>
      <c r="J9" s="70" t="inlineStr">
        <is>
          <t>Vivekananda F/747</t>
        </is>
      </c>
    </row>
    <row r="10" ht="15" customHeight="1" s="66">
      <c r="A10" s="125" t="n">
        <v>6</v>
      </c>
      <c r="B10" s="125" t="inlineStr">
        <is>
          <t>Inj. Sugammadex Reversee)</t>
        </is>
      </c>
      <c r="C10" s="125" t="n"/>
      <c r="D10" s="125" t="inlineStr">
        <is>
          <t>No.</t>
        </is>
      </c>
      <c r="E10" s="125" t="n">
        <v>1</v>
      </c>
      <c r="F10" s="125" t="n">
        <v>831</v>
      </c>
      <c r="G10" s="125" t="n">
        <v>831</v>
      </c>
      <c r="H10" s="125" t="inlineStr">
        <is>
          <t>⚠</t>
        </is>
      </c>
      <c r="I10" s="125" t="inlineStr">
        <is>
          <t>⚠</t>
        </is>
      </c>
      <c r="J10" s="125" t="inlineStr">
        <is>
          <t>MRP filled; cost ⚠</t>
        </is>
      </c>
    </row>
    <row r="11" ht="15" customHeight="1" s="66">
      <c r="A11" s="125" t="n">
        <v>7</v>
      </c>
      <c r="B11" s="125" t="inlineStr">
        <is>
          <t>Inj. Scoline (Succinylcholine)</t>
        </is>
      </c>
      <c r="C11" s="125" t="n"/>
      <c r="D11" s="125" t="inlineStr">
        <is>
          <t>No.</t>
        </is>
      </c>
      <c r="E11" s="125" t="n">
        <v>1</v>
      </c>
      <c r="F11" s="125" t="n">
        <v>55.64</v>
      </c>
      <c r="G11" s="125" t="n">
        <v>55.64</v>
      </c>
      <c r="H11" s="125" t="inlineStr">
        <is>
          <t>⚠</t>
        </is>
      </c>
      <c r="I11" s="125" t="inlineStr">
        <is>
          <t>⚠</t>
        </is>
      </c>
      <c r="J11" s="125" t="inlineStr">
        <is>
          <t>MRP filled; cost ⚠</t>
        </is>
      </c>
    </row>
    <row r="12" ht="15" customHeight="1" s="66">
      <c r="A12" s="125" t="n">
        <v>8</v>
      </c>
      <c r="B12" s="125" t="inlineStr">
        <is>
          <t>Inj. Propofol 20ml</t>
        </is>
      </c>
      <c r="C12" s="125" t="n"/>
      <c r="D12" s="125" t="inlineStr">
        <is>
          <t>No.</t>
        </is>
      </c>
      <c r="E12" s="125" t="n">
        <v>1</v>
      </c>
      <c r="F12" s="125" t="n">
        <v>145.5</v>
      </c>
      <c r="G12" s="125" t="n">
        <v>145.5</v>
      </c>
      <c r="H12" s="125" t="inlineStr">
        <is>
          <t>⚠</t>
        </is>
      </c>
      <c r="I12" s="125" t="inlineStr">
        <is>
          <t>⚠</t>
        </is>
      </c>
      <c r="J12" s="125" t="inlineStr">
        <is>
          <t>MRP filled; cost ⚠</t>
        </is>
      </c>
    </row>
    <row r="13" ht="15" customHeight="1" s="66">
      <c r="A13" s="125" t="n">
        <v>9</v>
      </c>
      <c r="B13" s="125" t="inlineStr">
        <is>
          <t>Inj. Midizolam 3ml</t>
        </is>
      </c>
      <c r="C13" s="125" t="n"/>
      <c r="D13" s="125" t="inlineStr">
        <is>
          <t>No.</t>
        </is>
      </c>
      <c r="E13" s="125" t="n">
        <v>1</v>
      </c>
      <c r="F13" s="125" t="n">
        <v>31.03</v>
      </c>
      <c r="G13" s="125" t="n">
        <v>31.03</v>
      </c>
      <c r="H13" s="125" t="n">
        <v>23.81</v>
      </c>
      <c r="I13" s="125" t="n">
        <v>23.81</v>
      </c>
      <c r="J13" s="125" t="inlineStr">
        <is>
          <t>Filled from stock/rate card</t>
        </is>
      </c>
    </row>
    <row r="14" ht="15" customHeight="1" s="66">
      <c r="A14" s="70" t="n">
        <v>10</v>
      </c>
      <c r="B14" s="70" t="inlineStr">
        <is>
          <t>Inj. Fortwin (Pentazocine)</t>
        </is>
      </c>
      <c r="C14" s="70" t="n"/>
      <c r="D14" s="70" t="inlineStr">
        <is>
          <t>No.</t>
        </is>
      </c>
      <c r="E14" s="70" t="n">
        <v>1</v>
      </c>
      <c r="F14" s="71" t="n">
        <v>59.59</v>
      </c>
      <c r="G14" s="71">
        <f>E14*F14</f>
        <v/>
      </c>
      <c r="H14" s="71" t="n">
        <v>22</v>
      </c>
      <c r="I14" s="71">
        <f>E14*H14</f>
        <v/>
      </c>
      <c r="J14" s="70" t="inlineStr">
        <is>
          <t>Vivekananda F/1180</t>
        </is>
      </c>
    </row>
    <row r="15" ht="15" customHeight="1" s="66">
      <c r="A15" s="125" t="n">
        <v>11</v>
      </c>
      <c r="B15" s="125" t="inlineStr">
        <is>
          <t>Inj. Tramazac 1ml</t>
        </is>
      </c>
      <c r="C15" s="125" t="n"/>
      <c r="D15" s="125" t="inlineStr">
        <is>
          <t>No.</t>
        </is>
      </c>
      <c r="E15" s="125" t="n">
        <v>1</v>
      </c>
      <c r="F15" s="125" t="n">
        <v>7.3</v>
      </c>
      <c r="G15" s="125" t="n">
        <v>7.3</v>
      </c>
      <c r="H15" s="125" t="n">
        <v>5.71</v>
      </c>
      <c r="I15" s="125" t="n">
        <v>5.71</v>
      </c>
      <c r="J15" s="125" t="inlineStr">
        <is>
          <t>Filled from stock/rate card</t>
        </is>
      </c>
    </row>
    <row r="16" ht="15" customHeight="1" s="66">
      <c r="A16" s="70" t="n">
        <v>12</v>
      </c>
      <c r="B16" s="70" t="inlineStr">
        <is>
          <t>Inj. Pentazocine 1ml</t>
        </is>
      </c>
      <c r="C16" s="70" t="n"/>
      <c r="D16" s="70" t="inlineStr">
        <is>
          <t>No.</t>
        </is>
      </c>
      <c r="E16" s="70" t="n">
        <v>1</v>
      </c>
      <c r="F16" s="71" t="n">
        <v>59.59</v>
      </c>
      <c r="G16" s="71">
        <f>E16*F16</f>
        <v/>
      </c>
      <c r="H16" s="71" t="n">
        <v>22</v>
      </c>
      <c r="I16" s="71">
        <f>E16*H16</f>
        <v/>
      </c>
      <c r="J16" s="70" t="inlineStr">
        <is>
          <t>Vivekananda F/1180</t>
        </is>
      </c>
    </row>
    <row r="17" ht="15" customHeight="1" s="66">
      <c r="A17" s="70" t="n">
        <v>13</v>
      </c>
      <c r="B17" s="70" t="inlineStr">
        <is>
          <t>Inj. Neovac 4ml</t>
        </is>
      </c>
      <c r="C17" s="70" t="n"/>
      <c r="D17" s="70" t="inlineStr">
        <is>
          <t>No.</t>
        </is>
      </c>
      <c r="E17" s="70" t="n">
        <v>1</v>
      </c>
      <c r="F17" s="71" t="n">
        <v>124.85</v>
      </c>
      <c r="G17" s="71">
        <f>E17*F17</f>
        <v/>
      </c>
      <c r="H17" s="71" t="n">
        <v>100</v>
      </c>
      <c r="I17" s="71">
        <f>E17*H17</f>
        <v/>
      </c>
      <c r="J17" s="70" t="inlineStr">
        <is>
          <t>S.S.B. S000135</t>
        </is>
      </c>
    </row>
    <row r="18" ht="15" customHeight="1" s="66">
      <c r="A18" s="125" t="n">
        <v>14</v>
      </c>
      <c r="B18" s="125" t="inlineStr">
        <is>
          <t>Inj. Glycopyrrolate 1ml</t>
        </is>
      </c>
      <c r="C18" s="125" t="n"/>
      <c r="D18" s="125" t="inlineStr">
        <is>
          <t>No.</t>
        </is>
      </c>
      <c r="E18" s="125" t="n">
        <v>1</v>
      </c>
      <c r="F18" s="125" t="n">
        <v>15.37</v>
      </c>
      <c r="G18" s="125" t="n">
        <v>15.37</v>
      </c>
      <c r="H18" s="125" t="n">
        <v>11.24</v>
      </c>
      <c r="I18" s="125" t="n">
        <v>11.24</v>
      </c>
      <c r="J18" s="125" t="inlineStr">
        <is>
          <t>Filled from stock/rate card</t>
        </is>
      </c>
    </row>
    <row r="19" ht="15" customHeight="1" s="66">
      <c r="A19" s="70" t="n">
        <v>15</v>
      </c>
      <c r="B19" s="70" t="inlineStr">
        <is>
          <t>E.T. Tube 7.0</t>
        </is>
      </c>
      <c r="C19" s="70" t="n"/>
      <c r="D19" s="70" t="inlineStr">
        <is>
          <t>No.</t>
        </is>
      </c>
      <c r="E19" s="70" t="n">
        <v>1</v>
      </c>
      <c r="F19" s="71" t="n">
        <v>1800</v>
      </c>
      <c r="G19" s="71">
        <f>E19*F19</f>
        <v/>
      </c>
      <c r="H19" s="71" t="n">
        <v>523.8099999999999</v>
      </c>
      <c r="I19" s="71">
        <f>E19*H19</f>
        <v/>
      </c>
      <c r="J19" s="70" t="inlineStr">
        <is>
          <t>S.S.B. S000670</t>
        </is>
      </c>
    </row>
    <row r="20" ht="15" customHeight="1" s="66">
      <c r="A20" s="70" t="n">
        <v>16</v>
      </c>
      <c r="B20" s="70" t="inlineStr">
        <is>
          <t>Foley's Catheter 16 No.</t>
        </is>
      </c>
      <c r="C20" s="70" t="n"/>
      <c r="D20" s="70" t="inlineStr">
        <is>
          <t>No.</t>
        </is>
      </c>
      <c r="E20" s="70" t="n">
        <v>1</v>
      </c>
      <c r="F20" s="71" t="n">
        <v>174</v>
      </c>
      <c r="G20" s="71">
        <f>E20*F20</f>
        <v/>
      </c>
      <c r="H20" s="71" t="n">
        <v>126.5</v>
      </c>
      <c r="I20" s="71">
        <f>E20*H20</f>
        <v/>
      </c>
      <c r="J20" s="70" t="inlineStr">
        <is>
          <t>B.P. 248</t>
        </is>
      </c>
    </row>
    <row r="21" ht="15" customHeight="1" s="66">
      <c r="A21" s="70" t="n">
        <v>17</v>
      </c>
      <c r="B21" s="70" t="inlineStr">
        <is>
          <t>Urobag</t>
        </is>
      </c>
      <c r="C21" s="70" t="n"/>
      <c r="D21" s="70" t="inlineStr">
        <is>
          <t>No.</t>
        </is>
      </c>
      <c r="E21" s="70" t="n">
        <v>1</v>
      </c>
      <c r="F21" s="71" t="n">
        <v>361</v>
      </c>
      <c r="G21" s="71">
        <f>E21*F21</f>
        <v/>
      </c>
      <c r="H21" s="71" t="n">
        <v>35</v>
      </c>
      <c r="I21" s="71">
        <f>E21*H21</f>
        <v/>
      </c>
      <c r="J21" s="70" t="inlineStr">
        <is>
          <t>Vivekananda F/747</t>
        </is>
      </c>
    </row>
    <row r="22" ht="15" customHeight="1" s="66">
      <c r="A22" s="125" t="n">
        <v>18</v>
      </c>
      <c r="B22" s="125" t="inlineStr">
        <is>
          <t>Sterilium 150ml</t>
        </is>
      </c>
      <c r="C22" s="125" t="n"/>
      <c r="D22" s="125" t="inlineStr">
        <is>
          <t>No.</t>
        </is>
      </c>
      <c r="E22" s="125" t="n">
        <v>1</v>
      </c>
      <c r="F22" s="125" t="n">
        <v>150</v>
      </c>
      <c r="G22" s="125" t="n">
        <v>150</v>
      </c>
      <c r="H22" s="125" t="n">
        <v>38.1</v>
      </c>
      <c r="I22" s="125" t="n">
        <v>38.1</v>
      </c>
      <c r="J22" s="125" t="inlineStr">
        <is>
          <t>Filled from stock/rate card</t>
        </is>
      </c>
    </row>
    <row r="23" ht="15" customHeight="1" s="66">
      <c r="A23" s="125" t="n">
        <v>19</v>
      </c>
      <c r="B23" s="125" t="inlineStr">
        <is>
          <t>Suture Ethilon 2-0 (SN3336)</t>
        </is>
      </c>
      <c r="C23" s="125" t="n"/>
      <c r="D23" s="125" t="inlineStr">
        <is>
          <t>No.</t>
        </is>
      </c>
      <c r="E23" s="125" t="n">
        <v>1</v>
      </c>
      <c r="F23" s="125" t="n">
        <v>277</v>
      </c>
      <c r="G23" s="125" t="n">
        <v>277</v>
      </c>
      <c r="H23" s="125" t="n">
        <v>49.52</v>
      </c>
      <c r="I23" s="125" t="n">
        <v>49.52</v>
      </c>
      <c r="J23" s="125" t="inlineStr">
        <is>
          <t>Filled from stock/rate card</t>
        </is>
      </c>
    </row>
    <row r="24" ht="15" customHeight="1" s="66">
      <c r="A24" s="125" t="n">
        <v>20</v>
      </c>
      <c r="B24" s="125" t="inlineStr">
        <is>
          <t>Vicryl 2826 L</t>
        </is>
      </c>
      <c r="C24" s="125" t="n"/>
      <c r="D24" s="125" t="inlineStr">
        <is>
          <t>No.</t>
        </is>
      </c>
      <c r="E24" s="125" t="n">
        <v>1</v>
      </c>
      <c r="F24" s="125" t="n">
        <v>871</v>
      </c>
      <c r="G24" s="125" t="n">
        <v>871</v>
      </c>
      <c r="H24" s="125" t="n">
        <v>479.17</v>
      </c>
      <c r="I24" s="125" t="n">
        <v>479.17</v>
      </c>
      <c r="J24" s="125" t="inlineStr">
        <is>
          <t>Filled from stock/rate card</t>
        </is>
      </c>
    </row>
    <row r="25" ht="15" customHeight="1" s="66">
      <c r="A25" s="70" t="n">
        <v>21</v>
      </c>
      <c r="B25" s="70" t="inlineStr">
        <is>
          <t>Betadine Lotion 100ml</t>
        </is>
      </c>
      <c r="C25" s="70" t="n"/>
      <c r="D25" s="70" t="inlineStr">
        <is>
          <t>No.</t>
        </is>
      </c>
      <c r="E25" s="70" t="n">
        <v>1</v>
      </c>
      <c r="F25" s="71" t="n">
        <v>151.33</v>
      </c>
      <c r="G25" s="71">
        <f>E25*F25</f>
        <v/>
      </c>
      <c r="H25" s="71" t="n">
        <v>85.70999999999999</v>
      </c>
      <c r="I25" s="71">
        <f>E25*H25</f>
        <v/>
      </c>
      <c r="J25" s="70" t="inlineStr">
        <is>
          <t>S.S.B. S000645</t>
        </is>
      </c>
    </row>
    <row r="26" ht="15" customHeight="1" s="66">
      <c r="A26" s="125" t="n">
        <v>22</v>
      </c>
      <c r="B26" s="125" t="inlineStr">
        <is>
          <t>TURP / Irrigation Set</t>
        </is>
      </c>
      <c r="C26" s="125" t="n"/>
      <c r="D26" s="125" t="inlineStr">
        <is>
          <t>No.</t>
        </is>
      </c>
      <c r="E26" s="125" t="n">
        <v>1</v>
      </c>
      <c r="F26" s="125" t="n">
        <v>523</v>
      </c>
      <c r="G26" s="125" t="n">
        <v>523</v>
      </c>
      <c r="H26" s="125" t="n">
        <v>107.95</v>
      </c>
      <c r="I26" s="125" t="n">
        <v>107.95</v>
      </c>
      <c r="J26" s="125" t="inlineStr">
        <is>
          <t>Filled from stock/rate card</t>
        </is>
      </c>
    </row>
    <row r="27" ht="15" customHeight="1" s="66">
      <c r="A27" s="70" t="n">
        <v>23</v>
      </c>
      <c r="B27" s="70" t="inlineStr">
        <is>
          <t>NS 500ml ×3</t>
        </is>
      </c>
      <c r="C27" s="70" t="n"/>
      <c r="D27" s="70" t="inlineStr">
        <is>
          <t>No.</t>
        </is>
      </c>
      <c r="E27" s="70" t="n">
        <v>3</v>
      </c>
      <c r="F27" s="71" t="n">
        <v>36.6</v>
      </c>
      <c r="G27" s="71">
        <f>E27*F27</f>
        <v/>
      </c>
      <c r="H27" s="71" t="n">
        <v>17.62</v>
      </c>
      <c r="I27" s="71">
        <f>E27*H27</f>
        <v/>
      </c>
      <c r="J27" s="70" t="inlineStr">
        <is>
          <t>S.S.B. S000645</t>
        </is>
      </c>
    </row>
    <row r="28" ht="15" customHeight="1" s="66">
      <c r="A28" s="70" t="n">
        <v>24</v>
      </c>
      <c r="B28" s="70" t="inlineStr">
        <is>
          <t>NS 1000ml ×3</t>
        </is>
      </c>
      <c r="C28" s="70" t="n"/>
      <c r="D28" s="70" t="inlineStr">
        <is>
          <t>No.</t>
        </is>
      </c>
      <c r="E28" s="70" t="n">
        <v>3</v>
      </c>
      <c r="F28" s="71" t="n">
        <v>61.17</v>
      </c>
      <c r="G28" s="71">
        <f>E28*F28</f>
        <v/>
      </c>
      <c r="H28" s="71" t="n">
        <v>30.48</v>
      </c>
      <c r="I28" s="71">
        <f>E28*H28</f>
        <v/>
      </c>
      <c r="J28" s="70" t="inlineStr">
        <is>
          <t>S.S.B. S000645</t>
        </is>
      </c>
    </row>
    <row r="29" ht="15" customHeight="1" s="66">
      <c r="A29" s="70" t="n">
        <v>25</v>
      </c>
      <c r="B29" s="70" t="inlineStr">
        <is>
          <t>Gloves 7.0 ×2</t>
        </is>
      </c>
      <c r="C29" s="70" t="n"/>
      <c r="D29" s="70" t="inlineStr">
        <is>
          <t>No.</t>
        </is>
      </c>
      <c r="E29" s="70" t="n">
        <v>2</v>
      </c>
      <c r="F29" s="71" t="n">
        <v>91</v>
      </c>
      <c r="G29" s="71">
        <f>E29*F29</f>
        <v/>
      </c>
      <c r="H29" s="71" t="n">
        <v>19.06</v>
      </c>
      <c r="I29" s="71">
        <f>E29*H29</f>
        <v/>
      </c>
      <c r="J29" s="70" t="inlineStr">
        <is>
          <t>Vivekananda F/747</t>
        </is>
      </c>
    </row>
    <row r="30" ht="15" customHeight="1" s="66">
      <c r="A30" s="70" t="n">
        <v>26</v>
      </c>
      <c r="B30" s="70" t="inlineStr">
        <is>
          <t>Gloves 6.5</t>
        </is>
      </c>
      <c r="C30" s="70" t="n"/>
      <c r="D30" s="70" t="inlineStr">
        <is>
          <t>No.</t>
        </is>
      </c>
      <c r="E30" s="70" t="n">
        <v>1</v>
      </c>
      <c r="F30" s="71" t="n">
        <v>91</v>
      </c>
      <c r="G30" s="71">
        <f>E30*F30</f>
        <v/>
      </c>
      <c r="H30" s="71" t="n">
        <v>19.06</v>
      </c>
      <c r="I30" s="71">
        <f>E30*H30</f>
        <v/>
      </c>
      <c r="J30" s="70" t="inlineStr">
        <is>
          <t>Vivekananda F/747</t>
        </is>
      </c>
    </row>
    <row r="31" ht="15" customHeight="1" s="66">
      <c r="A31" s="70" t="n">
        <v>27</v>
      </c>
      <c r="B31" s="70" t="inlineStr">
        <is>
          <t>Plain Sheet (Large)</t>
        </is>
      </c>
      <c r="C31" s="70" t="n"/>
      <c r="D31" s="70" t="inlineStr">
        <is>
          <t>No.</t>
        </is>
      </c>
      <c r="E31" s="70" t="n">
        <v>1</v>
      </c>
      <c r="F31" s="71" t="n">
        <v>119.5</v>
      </c>
      <c r="G31" s="71">
        <f>E31*F31</f>
        <v/>
      </c>
      <c r="H31" s="71" t="n">
        <v>57.96</v>
      </c>
      <c r="I31" s="71">
        <f>E31*H31</f>
        <v/>
      </c>
      <c r="J31" s="70" t="inlineStr">
        <is>
          <t>M.R. MR000352</t>
        </is>
      </c>
    </row>
    <row r="32" ht="15" customHeight="1" s="66">
      <c r="A32" s="125" t="n">
        <v>28</v>
      </c>
      <c r="B32" s="125" t="inlineStr">
        <is>
          <t>Lap Instruments — 1 Set</t>
        </is>
      </c>
      <c r="C32" s="125" t="n"/>
      <c r="D32" s="125" t="inlineStr">
        <is>
          <t>No.</t>
        </is>
      </c>
      <c r="E32" s="125" t="n">
        <v>1</v>
      </c>
      <c r="F32" s="125" t="inlineStr">
        <is>
          <t>⚠</t>
        </is>
      </c>
      <c r="G32" s="125" t="inlineStr">
        <is>
          <t>⚠</t>
        </is>
      </c>
      <c r="H32" s="125" t="inlineStr">
        <is>
          <t>⚠</t>
        </is>
      </c>
      <c r="I32" s="125" t="inlineStr">
        <is>
          <t>⚠</t>
        </is>
      </c>
      <c r="J32" s="125" t="inlineStr">
        <is>
          <t>⚠ MRP NOT FOUND — fill in manually</t>
        </is>
      </c>
    </row>
    <row r="33" ht="15" customHeight="1" s="66">
      <c r="A33" s="125" t="n">
        <v>29</v>
      </c>
      <c r="B33" s="125" t="inlineStr">
        <is>
          <t>Surgical Blade No. 11 ×2</t>
        </is>
      </c>
      <c r="C33" s="125" t="n"/>
      <c r="D33" s="125" t="inlineStr">
        <is>
          <t>No.</t>
        </is>
      </c>
      <c r="E33" s="125" t="n">
        <v>2</v>
      </c>
      <c r="F33" s="125" t="n">
        <v>750</v>
      </c>
      <c r="G33" s="125" t="n">
        <v>1500</v>
      </c>
      <c r="H33" s="125" t="inlineStr">
        <is>
          <t>⚠</t>
        </is>
      </c>
      <c r="I33" s="125" t="inlineStr">
        <is>
          <t>⚠</t>
        </is>
      </c>
      <c r="J33" s="125" t="inlineStr">
        <is>
          <t>MRP filled; cost ⚠</t>
        </is>
      </c>
    </row>
    <row r="34" ht="15" customHeight="1" s="66">
      <c r="A34" s="70" t="n">
        <v>30</v>
      </c>
      <c r="B34" s="70" t="inlineStr">
        <is>
          <t>Inj. Pipzo 4.5g (Piperacillin-Taz) ×3 (Day 1)</t>
        </is>
      </c>
      <c r="C34" s="70" t="n"/>
      <c r="D34" s="70" t="inlineStr">
        <is>
          <t>No.</t>
        </is>
      </c>
      <c r="E34" s="70" t="n">
        <v>3</v>
      </c>
      <c r="F34" s="71" t="n">
        <v>326.22</v>
      </c>
      <c r="G34" s="71">
        <f>E34*F34</f>
        <v/>
      </c>
      <c r="H34" s="71" t="n">
        <v>110</v>
      </c>
      <c r="I34" s="71">
        <f>E34*H34</f>
        <v/>
      </c>
      <c r="J34" s="70" t="inlineStr">
        <is>
          <t>M.R. MR000553</t>
        </is>
      </c>
    </row>
    <row r="35" ht="15" customHeight="1" s="66">
      <c r="A35" s="70" t="n">
        <v>31</v>
      </c>
      <c r="B35" s="70" t="inlineStr">
        <is>
          <t>NS 100ml ×3 (Day 1)</t>
        </is>
      </c>
      <c r="C35" s="70" t="n"/>
      <c r="D35" s="70" t="inlineStr">
        <is>
          <t>No.</t>
        </is>
      </c>
      <c r="E35" s="70" t="n">
        <v>3</v>
      </c>
      <c r="F35" s="71" t="n">
        <v>21</v>
      </c>
      <c r="G35" s="71">
        <f>E35*F35</f>
        <v/>
      </c>
      <c r="H35" s="71" t="n">
        <v>11.43</v>
      </c>
      <c r="I35" s="71">
        <f>E35*H35</f>
        <v/>
      </c>
      <c r="J35" s="70" t="inlineStr">
        <is>
          <t>S.S.B. S000645</t>
        </is>
      </c>
    </row>
    <row r="36" ht="15" customHeight="1" s="66">
      <c r="A36" s="70" t="n">
        <v>32</v>
      </c>
      <c r="B36" s="70" t="inlineStr">
        <is>
          <t>Inj. Pan 40 IV ×3 (Day 1)</t>
        </is>
      </c>
      <c r="C36" s="70" t="n"/>
      <c r="D36" s="70" t="inlineStr">
        <is>
          <t>No.</t>
        </is>
      </c>
      <c r="E36" s="70" t="n">
        <v>3</v>
      </c>
      <c r="F36" s="71" t="n">
        <v>54.24</v>
      </c>
      <c r="G36" s="71">
        <f>E36*F36</f>
        <v/>
      </c>
      <c r="H36" s="71" t="n">
        <v>18</v>
      </c>
      <c r="I36" s="71">
        <f>E36*H36</f>
        <v/>
      </c>
      <c r="J36" s="70" t="inlineStr">
        <is>
          <t>M.R. MR000604</t>
        </is>
      </c>
    </row>
    <row r="37" ht="15" customHeight="1" s="66">
      <c r="A37" s="70" t="n">
        <v>33</v>
      </c>
      <c r="B37" s="70" t="inlineStr">
        <is>
          <t>Inj. Pan 40 IV ×3 (Day 2)</t>
        </is>
      </c>
      <c r="C37" s="70" t="n"/>
      <c r="D37" s="70" t="inlineStr">
        <is>
          <t>No.</t>
        </is>
      </c>
      <c r="E37" s="70" t="n">
        <v>3</v>
      </c>
      <c r="F37" s="71" t="n">
        <v>54.24</v>
      </c>
      <c r="G37" s="71">
        <f>E37*F37</f>
        <v/>
      </c>
      <c r="H37" s="71" t="n">
        <v>18</v>
      </c>
      <c r="I37" s="71">
        <f>E37*H37</f>
        <v/>
      </c>
      <c r="J37" s="70" t="inlineStr">
        <is>
          <t>M.R. MR000604</t>
        </is>
      </c>
    </row>
    <row r="38" ht="15" customHeight="1" s="66">
      <c r="A38" s="129" t="n">
        <v>34</v>
      </c>
      <c r="B38" s="129" t="inlineStr">
        <is>
          <t>Inj. Ondem (Ondansetron) ×2 (Day 2)</t>
        </is>
      </c>
      <c r="C38" s="129" t="n"/>
      <c r="D38" s="129" t="inlineStr">
        <is>
          <t>No.</t>
        </is>
      </c>
      <c r="E38" s="129" t="n">
        <v>2</v>
      </c>
      <c r="F38" s="130" t="n">
        <v>146.25</v>
      </c>
      <c r="G38" s="130">
        <f>E38*F38</f>
        <v/>
      </c>
      <c r="H38" s="130" t="n">
        <v>109.52</v>
      </c>
      <c r="I38" s="130">
        <f>E38*H38</f>
        <v/>
      </c>
      <c r="J38" s="129" t="inlineStr">
        <is>
          <t>⚠ MRP OUTLIER — verify batch; S.S.B. S000670</t>
        </is>
      </c>
    </row>
    <row r="39" ht="15" customHeight="1" s="66">
      <c r="A39" s="70" t="n">
        <v>35</v>
      </c>
      <c r="B39" s="70" t="inlineStr">
        <is>
          <t>Inj. Monocef 1g (Ceftriaxone) (Day 2)</t>
        </is>
      </c>
      <c r="C39" s="70" t="n"/>
      <c r="D39" s="70" t="inlineStr">
        <is>
          <t>No.</t>
        </is>
      </c>
      <c r="E39" s="70" t="n">
        <v>1</v>
      </c>
      <c r="F39" s="71" t="n">
        <v>66.64</v>
      </c>
      <c r="G39" s="71">
        <f>E39*F39</f>
        <v/>
      </c>
      <c r="H39" s="71" t="n">
        <v>25.71</v>
      </c>
      <c r="I39" s="71">
        <f>E39*H39</f>
        <v/>
      </c>
      <c r="J39" s="70" t="inlineStr">
        <is>
          <t>S.S.B. S000135</t>
        </is>
      </c>
    </row>
    <row r="40" ht="15" customHeight="1" s="66">
      <c r="A40" s="70" t="n">
        <v>36</v>
      </c>
      <c r="B40" s="70" t="inlineStr">
        <is>
          <t>Syringe 10ml</t>
        </is>
      </c>
      <c r="C40" s="70" t="n"/>
      <c r="D40" s="70" t="inlineStr">
        <is>
          <t>No.</t>
        </is>
      </c>
      <c r="E40" s="70" t="n">
        <v>1</v>
      </c>
      <c r="F40" s="71" t="n">
        <v>13.3</v>
      </c>
      <c r="G40" s="71">
        <f>E40*F40</f>
        <v/>
      </c>
      <c r="H40" s="71" t="n">
        <v>5.3</v>
      </c>
      <c r="I40" s="71">
        <f>E40*H40</f>
        <v/>
      </c>
      <c r="J40" s="70" t="inlineStr">
        <is>
          <t>M.R. MR000753</t>
        </is>
      </c>
    </row>
    <row r="41" ht="15" customHeight="1" s="66">
      <c r="A41" s="70" t="n">
        <v>37</v>
      </c>
      <c r="B41" s="70" t="inlineStr">
        <is>
          <t>NS 500ml (Day 2)</t>
        </is>
      </c>
      <c r="C41" s="70" t="n"/>
      <c r="D41" s="70" t="inlineStr">
        <is>
          <t>No.</t>
        </is>
      </c>
      <c r="E41" s="70" t="n">
        <v>1</v>
      </c>
      <c r="F41" s="71" t="n">
        <v>36.6</v>
      </c>
      <c r="G41" s="71">
        <f>E41*F41</f>
        <v/>
      </c>
      <c r="H41" s="71" t="n">
        <v>17.62</v>
      </c>
      <c r="I41" s="71">
        <f>E41*H41</f>
        <v/>
      </c>
      <c r="J41" s="70" t="inlineStr">
        <is>
          <t>S.S.B. S000645</t>
        </is>
      </c>
    </row>
    <row r="42" ht="15" customHeight="1" s="66">
      <c r="A42" s="70" t="n">
        <v>38</v>
      </c>
      <c r="B42" s="70" t="inlineStr">
        <is>
          <t>IV Set (Sangoflex)</t>
        </is>
      </c>
      <c r="C42" s="70" t="n"/>
      <c r="D42" s="70" t="inlineStr">
        <is>
          <t>No.</t>
        </is>
      </c>
      <c r="E42" s="70" t="n">
        <v>1</v>
      </c>
      <c r="F42" s="71" t="n">
        <v>201</v>
      </c>
      <c r="G42" s="71">
        <f>E42*F42</f>
        <v/>
      </c>
      <c r="H42" s="71" t="n">
        <v>11.9</v>
      </c>
      <c r="I42" s="71">
        <f>E42*H42</f>
        <v/>
      </c>
      <c r="J42" s="70" t="inlineStr">
        <is>
          <t>S.S.B. S000400</t>
        </is>
      </c>
    </row>
    <row r="43" ht="15" customHeight="1" s="66">
      <c r="A43" s="70" t="n">
        <v>39</v>
      </c>
      <c r="B43" s="70" t="inlineStr">
        <is>
          <t>Easyfix</t>
        </is>
      </c>
      <c r="C43" s="70" t="n"/>
      <c r="D43" s="70" t="inlineStr">
        <is>
          <t>No.</t>
        </is>
      </c>
      <c r="E43" s="70" t="n">
        <v>1</v>
      </c>
      <c r="F43" s="71" t="n">
        <v>80.59999999999999</v>
      </c>
      <c r="G43" s="71">
        <f>E43*F43</f>
        <v/>
      </c>
      <c r="H43" s="71" t="n">
        <v>42.86</v>
      </c>
      <c r="I43" s="71">
        <f>E43*H43</f>
        <v/>
      </c>
      <c r="J43" s="70" t="inlineStr">
        <is>
          <t>S.S.B. S000293</t>
        </is>
      </c>
    </row>
    <row r="44" ht="15" customHeight="1" s="66">
      <c r="A44" s="70" t="n">
        <v>40</v>
      </c>
      <c r="B44" s="70" t="inlineStr">
        <is>
          <t>IV Cannula 18G</t>
        </is>
      </c>
      <c r="C44" s="70" t="n"/>
      <c r="D44" s="70" t="inlineStr">
        <is>
          <t>No.</t>
        </is>
      </c>
      <c r="E44" s="70" t="n">
        <v>1</v>
      </c>
      <c r="F44" s="71" t="n">
        <v>321</v>
      </c>
      <c r="G44" s="71">
        <f>E44*F44</f>
        <v/>
      </c>
      <c r="H44" s="71" t="n">
        <v>55</v>
      </c>
      <c r="I44" s="71">
        <f>E44*H44</f>
        <v/>
      </c>
      <c r="J44" s="70" t="inlineStr">
        <is>
          <t>Vivekananda F/684</t>
        </is>
      </c>
    </row>
    <row r="45" ht="15" customHeight="1" s="66">
      <c r="A45" s="70" t="n">
        <v>41</v>
      </c>
      <c r="B45" s="70" t="inlineStr">
        <is>
          <t>Inj. PCM 100ml ×4</t>
        </is>
      </c>
      <c r="C45" s="70" t="n"/>
      <c r="D45" s="70" t="inlineStr">
        <is>
          <t>No.</t>
        </is>
      </c>
      <c r="E45" s="70" t="n">
        <v>4</v>
      </c>
      <c r="F45" s="71" t="n">
        <v>591.5</v>
      </c>
      <c r="G45" s="71">
        <f>E45*F45</f>
        <v/>
      </c>
      <c r="H45" s="71" t="n">
        <v>35</v>
      </c>
      <c r="I45" s="71">
        <f>E45*H45</f>
        <v/>
      </c>
      <c r="J45" s="70" t="inlineStr">
        <is>
          <t>M.R. MR000519</t>
        </is>
      </c>
    </row>
    <row r="46" ht="15" customHeight="1" s="66">
      <c r="A46" s="70" t="n">
        <v>42</v>
      </c>
      <c r="B46" s="70" t="inlineStr">
        <is>
          <t>IVF RL 500ml ×2</t>
        </is>
      </c>
      <c r="C46" s="70" t="n"/>
      <c r="D46" s="70" t="inlineStr">
        <is>
          <t>No.</t>
        </is>
      </c>
      <c r="E46" s="70" t="n">
        <v>2</v>
      </c>
      <c r="F46" s="71" t="n">
        <v>59.31</v>
      </c>
      <c r="G46" s="71">
        <f>E46*F46</f>
        <v/>
      </c>
      <c r="H46" s="71" t="n">
        <v>18.57</v>
      </c>
      <c r="I46" s="71">
        <f>E46*H46</f>
        <v/>
      </c>
      <c r="J46" s="70" t="inlineStr">
        <is>
          <t>S.S.B. S000645</t>
        </is>
      </c>
    </row>
    <row r="47" ht="15" customHeight="1" s="66">
      <c r="A47" s="70" t="n">
        <v>43</v>
      </c>
      <c r="B47" s="70" t="inlineStr">
        <is>
          <t>NS 100ml ×2 (Day 2)</t>
        </is>
      </c>
      <c r="C47" s="70" t="n"/>
      <c r="D47" s="70" t="inlineStr">
        <is>
          <t>No.</t>
        </is>
      </c>
      <c r="E47" s="70" t="n">
        <v>2</v>
      </c>
      <c r="F47" s="71" t="n">
        <v>21</v>
      </c>
      <c r="G47" s="71">
        <f>E47*F47</f>
        <v/>
      </c>
      <c r="H47" s="71" t="n">
        <v>11.43</v>
      </c>
      <c r="I47" s="71">
        <f>E47*H47</f>
        <v/>
      </c>
      <c r="J47" s="70" t="inlineStr">
        <is>
          <t>S.S.B. S000645</t>
        </is>
      </c>
    </row>
    <row r="48" ht="15" customHeight="1" s="66">
      <c r="A48" s="125" t="n">
        <v>44</v>
      </c>
      <c r="B48" s="125" t="inlineStr">
        <is>
          <t>Needle 16G ×2</t>
        </is>
      </c>
      <c r="C48" s="125" t="n"/>
      <c r="D48" s="125" t="inlineStr">
        <is>
          <t>No.</t>
        </is>
      </c>
      <c r="E48" s="125" t="n">
        <v>2</v>
      </c>
      <c r="F48" s="125" t="n">
        <v>3.38</v>
      </c>
      <c r="G48" s="125" t="n">
        <v>6.76</v>
      </c>
      <c r="H48" s="125" t="inlineStr">
        <is>
          <t>⚠</t>
        </is>
      </c>
      <c r="I48" s="125" t="inlineStr">
        <is>
          <t>⚠</t>
        </is>
      </c>
      <c r="J48" s="125" t="inlineStr">
        <is>
          <t>Filled from stock/rate card</t>
        </is>
      </c>
    </row>
    <row r="49" ht="15" customHeight="1" s="66">
      <c r="A49" s="70" t="n">
        <v>45</v>
      </c>
      <c r="B49" s="70" t="inlineStr">
        <is>
          <t>Inj. Xone 1g ×5 (Day 2)</t>
        </is>
      </c>
      <c r="C49" s="70" t="n"/>
      <c r="D49" s="70" t="inlineStr">
        <is>
          <t>No.</t>
        </is>
      </c>
      <c r="E49" s="70" t="n">
        <v>5</v>
      </c>
      <c r="F49" s="71" t="n">
        <v>66.64</v>
      </c>
      <c r="G49" s="71">
        <f>E49*F49</f>
        <v/>
      </c>
      <c r="H49" s="71" t="n">
        <v>25.71</v>
      </c>
      <c r="I49" s="71">
        <f>E49*H49</f>
        <v/>
      </c>
      <c r="J49" s="70" t="inlineStr">
        <is>
          <t>S.S.B. S000135</t>
        </is>
      </c>
    </row>
    <row r="50" ht="15" customHeight="1" s="66">
      <c r="A50" s="70" t="n">
        <v>46</v>
      </c>
      <c r="B50" s="70" t="inlineStr">
        <is>
          <t>IV Cannula 26G</t>
        </is>
      </c>
      <c r="C50" s="70" t="n"/>
      <c r="D50" s="70" t="inlineStr">
        <is>
          <t>No.</t>
        </is>
      </c>
      <c r="E50" s="70" t="n">
        <v>1</v>
      </c>
      <c r="F50" s="71" t="n">
        <v>198</v>
      </c>
      <c r="G50" s="71">
        <f>E50*F50</f>
        <v/>
      </c>
      <c r="H50" s="71" t="n">
        <v>7.14</v>
      </c>
      <c r="I50" s="71">
        <f>E50*H50</f>
        <v/>
      </c>
      <c r="J50" s="70" t="inlineStr">
        <is>
          <t>S.S.B. S000399</t>
        </is>
      </c>
    </row>
    <row r="51" ht="15" customHeight="1" s="66">
      <c r="A51" s="70" t="n">
        <v>47</v>
      </c>
      <c r="B51" s="70" t="inlineStr">
        <is>
          <t>Bandage ×2</t>
        </is>
      </c>
      <c r="C51" s="70" t="n"/>
      <c r="D51" s="70" t="inlineStr">
        <is>
          <t>No.</t>
        </is>
      </c>
      <c r="E51" s="70" t="n">
        <v>2</v>
      </c>
      <c r="F51" s="71" t="n">
        <v>124</v>
      </c>
      <c r="G51" s="71">
        <f>E51*F51</f>
        <v/>
      </c>
      <c r="H51" s="71" t="n">
        <v>78</v>
      </c>
      <c r="I51" s="71">
        <f>E51*H51</f>
        <v/>
      </c>
      <c r="J51" s="70" t="inlineStr">
        <is>
          <t>B.P. 340</t>
        </is>
      </c>
    </row>
    <row r="52" ht="15" customHeight="1" s="66">
      <c r="A52" s="126" t="inlineStr">
        <is>
          <t xml:space="preserve">  Subtotal — Consumables / Medicines</t>
        </is>
      </c>
      <c r="G52" s="127">
        <f>SUM(G5:G51)</f>
        <v/>
      </c>
      <c r="H52" s="128" t="n"/>
      <c r="I52" s="127">
        <f>SUM(I5:I51)</f>
        <v/>
      </c>
      <c r="J52" s="128" t="n"/>
    </row>
    <row r="54" ht="15" customHeight="1" s="66">
      <c r="A54" s="124" t="inlineStr">
        <is>
          <t xml:space="preserve">  SECTION B — ROOM / BED CHARGES</t>
        </is>
      </c>
    </row>
    <row r="55" ht="15" customHeight="1" s="66">
      <c r="A55" s="70" t="n">
        <v>1</v>
      </c>
      <c r="B55" s="70" t="inlineStr">
        <is>
          <t>Bed / Room Charges</t>
        </is>
      </c>
      <c r="C55" s="70" t="inlineStr">
        <is>
          <t>Ward</t>
        </is>
      </c>
      <c r="D55" s="70" t="inlineStr">
        <is>
          <t>Day</t>
        </is>
      </c>
      <c r="E55" s="70" t="n">
        <v>3</v>
      </c>
      <c r="F55" s="71" t="n">
        <v>1000</v>
      </c>
      <c r="G55" s="71">
        <f>E55*F55</f>
        <v/>
      </c>
      <c r="H55" s="70" t="inlineStr">
        <is>
          <t>—</t>
        </is>
      </c>
      <c r="I55" s="70" t="inlineStr">
        <is>
          <t>—</t>
        </is>
      </c>
      <c r="J55" s="70" t="inlineStr">
        <is>
          <t>Per sheet</t>
        </is>
      </c>
    </row>
    <row r="57" ht="15" customHeight="1" s="66">
      <c r="A57" s="124" t="inlineStr">
        <is>
          <t xml:space="preserve">  SECTION C — OT / PROCEDURE CHARGES</t>
        </is>
      </c>
    </row>
    <row r="58" ht="15" customHeight="1" s="66">
      <c r="A58" s="70" t="n">
        <v>1</v>
      </c>
      <c r="B58" s="70" t="inlineStr">
        <is>
          <t>OT / Procedure Charges</t>
        </is>
      </c>
      <c r="C58" s="70" t="inlineStr">
        <is>
          <t>Per procedure</t>
        </is>
      </c>
      <c r="D58" s="70" t="inlineStr">
        <is>
          <t>—</t>
        </is>
      </c>
      <c r="E58" s="70" t="n">
        <v>1</v>
      </c>
      <c r="F58" s="71" t="n">
        <v>1500</v>
      </c>
      <c r="G58" s="71">
        <f>E58*F58</f>
        <v/>
      </c>
      <c r="H58" s="70" t="inlineStr">
        <is>
          <t>—</t>
        </is>
      </c>
      <c r="I58" s="70" t="inlineStr">
        <is>
          <t>—</t>
        </is>
      </c>
      <c r="J58" s="70" t="inlineStr">
        <is>
          <t>Per sheet</t>
        </is>
      </c>
    </row>
    <row r="60" ht="15" customHeight="1" s="66">
      <c r="A60" s="72" t="inlineStr">
        <is>
          <t>GRAND TOTAL PATIENT BILL</t>
        </is>
      </c>
      <c r="G60" s="73">
        <f>G52+SUM(G55:G55)+SUM(G58:G58)</f>
        <v/>
      </c>
      <c r="H60" s="73">
        <f>I52</f>
        <v/>
      </c>
      <c r="I60" s="73">
        <f>G60-H60</f>
        <v/>
      </c>
      <c r="J60" s="72" t="inlineStr">
        <is>
          <t>Bill | Cost | Margin</t>
        </is>
      </c>
    </row>
  </sheetData>
  <mergeCells count="6">
    <mergeCell ref="A1:J1"/>
    <mergeCell ref="A52:F52"/>
    <mergeCell ref="A60:F60"/>
    <mergeCell ref="A3:J3"/>
    <mergeCell ref="A57:J57"/>
    <mergeCell ref="A54:J5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J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Dola Roy (Jul 12)</t>
        </is>
      </c>
      <c r="E2" s="123" t="inlineStr">
        <is>
          <t>Doctor: Dr. S. Gupta</t>
        </is>
      </c>
      <c r="G2" s="123" t="inlineStr">
        <is>
          <t>Date: 12/07/2026</t>
        </is>
      </c>
      <c r="I2" s="123" t="inlineStr">
        <is>
          <t>Proc: RIPS + DJ Stent Removal — Spinal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70" t="n">
        <v>1</v>
      </c>
      <c r="B5" s="70" t="inlineStr">
        <is>
          <t>IV Set (Sangoflex)</t>
        </is>
      </c>
      <c r="C5" s="70" t="n"/>
      <c r="D5" s="70" t="inlineStr">
        <is>
          <t>No.</t>
        </is>
      </c>
      <c r="E5" s="70" t="n">
        <v>1</v>
      </c>
      <c r="F5" s="71" t="n">
        <v>201</v>
      </c>
      <c r="G5" s="71">
        <f>E5*F5</f>
        <v/>
      </c>
      <c r="H5" s="71" t="n">
        <v>11.9</v>
      </c>
      <c r="I5" s="71">
        <f>E5*H5</f>
        <v/>
      </c>
      <c r="J5" s="70" t="inlineStr">
        <is>
          <t>S.S.B. S000400</t>
        </is>
      </c>
    </row>
    <row r="6" ht="15" customHeight="1" s="66">
      <c r="A6" s="70" t="n">
        <v>2</v>
      </c>
      <c r="B6" s="70" t="inlineStr">
        <is>
          <t>IV Cannula 20G (Vonflon)</t>
        </is>
      </c>
      <c r="C6" s="70" t="n"/>
      <c r="D6" s="70" t="inlineStr">
        <is>
          <t>No.</t>
        </is>
      </c>
      <c r="E6" s="70" t="n">
        <v>1</v>
      </c>
      <c r="F6" s="71" t="n">
        <v>198</v>
      </c>
      <c r="G6" s="71">
        <f>E6*F6</f>
        <v/>
      </c>
      <c r="H6" s="71" t="n">
        <v>7.14</v>
      </c>
      <c r="I6" s="71">
        <f>E6*H6</f>
        <v/>
      </c>
      <c r="J6" s="70" t="inlineStr">
        <is>
          <t>S.S.B. S000399</t>
        </is>
      </c>
    </row>
    <row r="7" ht="15" customHeight="1" s="66">
      <c r="A7" s="70" t="n">
        <v>3</v>
      </c>
      <c r="B7" s="70" t="inlineStr">
        <is>
          <t>Spinal Needle 26G (Spinocaine)</t>
        </is>
      </c>
      <c r="C7" s="70" t="n"/>
      <c r="D7" s="70" t="inlineStr">
        <is>
          <t>No.</t>
        </is>
      </c>
      <c r="E7" s="70" t="n">
        <v>1</v>
      </c>
      <c r="F7" s="71" t="n">
        <v>153</v>
      </c>
      <c r="G7" s="71">
        <f>E7*F7</f>
        <v/>
      </c>
      <c r="H7" s="71" t="n">
        <v>74.29000000000001</v>
      </c>
      <c r="I7" s="71">
        <f>E7*H7</f>
        <v/>
      </c>
      <c r="J7" s="70" t="inlineStr">
        <is>
          <t>S.S.B. S000092</t>
        </is>
      </c>
    </row>
    <row r="8" ht="15" customHeight="1" s="66">
      <c r="A8" s="70" t="n">
        <v>4</v>
      </c>
      <c r="B8" s="70" t="inlineStr">
        <is>
          <t>Syringe 2cc ×2</t>
        </is>
      </c>
      <c r="C8" s="70" t="n"/>
      <c r="D8" s="70" t="inlineStr">
        <is>
          <t>No.</t>
        </is>
      </c>
      <c r="E8" s="70" t="n">
        <v>2</v>
      </c>
      <c r="F8" s="71" t="n">
        <v>8.449999999999999</v>
      </c>
      <c r="G8" s="71">
        <f>E8*F8</f>
        <v/>
      </c>
      <c r="H8" s="71" t="n">
        <v>2.3</v>
      </c>
      <c r="I8" s="71">
        <f>E8*H8</f>
        <v/>
      </c>
      <c r="J8" s="70" t="inlineStr">
        <is>
          <t>M.R. MR000753</t>
        </is>
      </c>
    </row>
    <row r="9" ht="15" customHeight="1" s="66">
      <c r="A9" s="70" t="n">
        <v>5</v>
      </c>
      <c r="B9" s="70" t="inlineStr">
        <is>
          <t>Syringe 5cc ×2</t>
        </is>
      </c>
      <c r="C9" s="70" t="n"/>
      <c r="D9" s="70" t="inlineStr">
        <is>
          <t>No.</t>
        </is>
      </c>
      <c r="E9" s="70" t="n">
        <v>2</v>
      </c>
      <c r="F9" s="71" t="n">
        <v>10.23</v>
      </c>
      <c r="G9" s="71">
        <f>E9*F9</f>
        <v/>
      </c>
      <c r="H9" s="71" t="n">
        <v>3.5</v>
      </c>
      <c r="I9" s="71">
        <f>E9*H9</f>
        <v/>
      </c>
      <c r="J9" s="70" t="inlineStr">
        <is>
          <t>M.R. MR000539</t>
        </is>
      </c>
    </row>
    <row r="10" ht="15" customHeight="1" s="66">
      <c r="A10" s="70" t="n">
        <v>6</v>
      </c>
      <c r="B10" s="70" t="inlineStr">
        <is>
          <t>Syringe 10cc ×2</t>
        </is>
      </c>
      <c r="C10" s="70" t="n"/>
      <c r="D10" s="70" t="inlineStr">
        <is>
          <t>No.</t>
        </is>
      </c>
      <c r="E10" s="70" t="n">
        <v>2</v>
      </c>
      <c r="F10" s="71" t="n">
        <v>13.3</v>
      </c>
      <c r="G10" s="71">
        <f>E10*F10</f>
        <v/>
      </c>
      <c r="H10" s="71" t="n">
        <v>5.3</v>
      </c>
      <c r="I10" s="71">
        <f>E10*H10</f>
        <v/>
      </c>
      <c r="J10" s="70" t="inlineStr">
        <is>
          <t>M.R. MR000753</t>
        </is>
      </c>
    </row>
    <row r="11" ht="15" customHeight="1" s="66">
      <c r="A11" s="70" t="n">
        <v>7</v>
      </c>
      <c r="B11" s="70" t="inlineStr">
        <is>
          <t>Distilled Water 10ml ×2</t>
        </is>
      </c>
      <c r="C11" s="70" t="n"/>
      <c r="D11" s="70" t="inlineStr">
        <is>
          <t>No.</t>
        </is>
      </c>
      <c r="E11" s="70" t="n">
        <v>2</v>
      </c>
      <c r="F11" s="71" t="n">
        <v>3.24</v>
      </c>
      <c r="G11" s="71">
        <f>E11*F11</f>
        <v/>
      </c>
      <c r="H11" s="71" t="n">
        <v>2.51</v>
      </c>
      <c r="I11" s="71">
        <f>E11*H11</f>
        <v/>
      </c>
      <c r="J11" s="70" t="inlineStr">
        <is>
          <t>Vivekananda F/747</t>
        </is>
      </c>
    </row>
    <row r="12" ht="15" customHeight="1" s="66">
      <c r="A12" s="125" t="n">
        <v>8</v>
      </c>
      <c r="B12" s="125" t="inlineStr">
        <is>
          <t>Needles 18G ×2</t>
        </is>
      </c>
      <c r="C12" s="125" t="n"/>
      <c r="D12" s="125" t="inlineStr">
        <is>
          <t>No.</t>
        </is>
      </c>
      <c r="E12" s="125" t="n">
        <v>2</v>
      </c>
      <c r="F12" s="125" t="n">
        <v>3.38</v>
      </c>
      <c r="G12" s="125" t="n">
        <v>6.76</v>
      </c>
      <c r="H12" s="125" t="inlineStr">
        <is>
          <t>⚠</t>
        </is>
      </c>
      <c r="I12" s="125" t="inlineStr">
        <is>
          <t>⚠</t>
        </is>
      </c>
      <c r="J12" s="125" t="inlineStr">
        <is>
          <t>MRP filled; cost ⚠</t>
        </is>
      </c>
    </row>
    <row r="13" ht="15" customHeight="1" s="66">
      <c r="A13" s="129" t="n">
        <v>9</v>
      </c>
      <c r="B13" s="129" t="inlineStr">
        <is>
          <t>Inj. Zofar 2ml (Ondansetron)</t>
        </is>
      </c>
      <c r="C13" s="129" t="n"/>
      <c r="D13" s="129" t="inlineStr">
        <is>
          <t>No.</t>
        </is>
      </c>
      <c r="E13" s="129" t="n">
        <v>1</v>
      </c>
      <c r="F13" s="130" t="n">
        <v>146.25</v>
      </c>
      <c r="G13" s="130">
        <f>E13*F13</f>
        <v/>
      </c>
      <c r="H13" s="130" t="n">
        <v>109.52</v>
      </c>
      <c r="I13" s="130">
        <f>E13*H13</f>
        <v/>
      </c>
      <c r="J13" s="129" t="inlineStr">
        <is>
          <t>⚠ MRP OUTLIER — verify batch; S.S.B. S000670</t>
        </is>
      </c>
    </row>
    <row r="14" ht="15" customHeight="1" s="66">
      <c r="A14" s="70" t="n">
        <v>10</v>
      </c>
      <c r="B14" s="70" t="inlineStr">
        <is>
          <t>Inj. Rantac (Ranitidine)</t>
        </is>
      </c>
      <c r="C14" s="70" t="n"/>
      <c r="D14" s="70" t="inlineStr">
        <is>
          <t>No.</t>
        </is>
      </c>
      <c r="E14" s="70" t="n">
        <v>1</v>
      </c>
      <c r="F14" s="71" t="n">
        <v>7.48</v>
      </c>
      <c r="G14" s="71">
        <f>E14*F14</f>
        <v/>
      </c>
      <c r="H14" s="71" t="n">
        <v>4.98</v>
      </c>
      <c r="I14" s="71">
        <f>E14*H14</f>
        <v/>
      </c>
      <c r="J14" s="70" t="inlineStr">
        <is>
          <t>M.R. MR000816</t>
        </is>
      </c>
    </row>
    <row r="15" ht="15" customHeight="1" s="66">
      <c r="A15" s="70" t="n">
        <v>11</v>
      </c>
      <c r="B15" s="70" t="inlineStr">
        <is>
          <t>Inj. Monocef 1g (Ceftriaxone)</t>
        </is>
      </c>
      <c r="C15" s="70" t="n"/>
      <c r="D15" s="70" t="inlineStr">
        <is>
          <t>No.</t>
        </is>
      </c>
      <c r="E15" s="70" t="n">
        <v>1</v>
      </c>
      <c r="F15" s="71" t="n">
        <v>66.64</v>
      </c>
      <c r="G15" s="71">
        <f>E15*F15</f>
        <v/>
      </c>
      <c r="H15" s="71" t="n">
        <v>25.71</v>
      </c>
      <c r="I15" s="71">
        <f>E15*H15</f>
        <v/>
      </c>
      <c r="J15" s="70" t="inlineStr">
        <is>
          <t>S.S.B. S000135</t>
        </is>
      </c>
    </row>
    <row r="16" ht="15" customHeight="1" s="66">
      <c r="A16" s="70" t="n">
        <v>12</v>
      </c>
      <c r="B16" s="70" t="inlineStr">
        <is>
          <t>Easyfix</t>
        </is>
      </c>
      <c r="C16" s="70" t="n"/>
      <c r="D16" s="70" t="inlineStr">
        <is>
          <t>No.</t>
        </is>
      </c>
      <c r="E16" s="70" t="n">
        <v>1</v>
      </c>
      <c r="F16" s="71" t="n">
        <v>80.59999999999999</v>
      </c>
      <c r="G16" s="71">
        <f>E16*F16</f>
        <v/>
      </c>
      <c r="H16" s="71" t="n">
        <v>42.86</v>
      </c>
      <c r="I16" s="71">
        <f>E16*H16</f>
        <v/>
      </c>
      <c r="J16" s="70" t="inlineStr">
        <is>
          <t>S.S.B. S000293</t>
        </is>
      </c>
    </row>
    <row r="17" ht="15" customHeight="1" s="66">
      <c r="A17" s="125" t="n">
        <v>13</v>
      </c>
      <c r="B17" s="125" t="inlineStr">
        <is>
          <t>Gauze Pieces ×10</t>
        </is>
      </c>
      <c r="C17" s="125" t="n"/>
      <c r="D17" s="125" t="inlineStr">
        <is>
          <t>No.</t>
        </is>
      </c>
      <c r="E17" s="125" t="n">
        <v>10</v>
      </c>
      <c r="F17" s="125" t="n">
        <v>14</v>
      </c>
      <c r="G17" s="125" t="n">
        <v>140</v>
      </c>
      <c r="H17" s="125" t="n">
        <v>5.46</v>
      </c>
      <c r="I17" s="125" t="n">
        <v>54.6</v>
      </c>
      <c r="J17" s="125" t="inlineStr">
        <is>
          <t>Filled from stock/rate card</t>
        </is>
      </c>
    </row>
    <row r="18" ht="15" customHeight="1" s="66">
      <c r="A18" s="70" t="n">
        <v>14</v>
      </c>
      <c r="B18" s="70" t="inlineStr">
        <is>
          <t>OT Mop / Abd. Swab</t>
        </is>
      </c>
      <c r="C18" s="70" t="n"/>
      <c r="D18" s="70" t="inlineStr">
        <is>
          <t>No.</t>
        </is>
      </c>
      <c r="E18" s="70" t="n">
        <v>1</v>
      </c>
      <c r="F18" s="71" t="n">
        <v>95</v>
      </c>
      <c r="G18" s="71">
        <f>E18*F18</f>
        <v/>
      </c>
      <c r="H18" s="71" t="n">
        <v>40.15</v>
      </c>
      <c r="I18" s="71">
        <f>E18*H18</f>
        <v/>
      </c>
      <c r="J18" s="70" t="inlineStr">
        <is>
          <t>B.P. 349</t>
        </is>
      </c>
    </row>
    <row r="19" ht="15" customHeight="1" s="66">
      <c r="A19" s="70" t="n">
        <v>15</v>
      </c>
      <c r="B19" s="70" t="inlineStr">
        <is>
          <t>Apron 2 pc</t>
        </is>
      </c>
      <c r="C19" s="70" t="n"/>
      <c r="D19" s="70" t="inlineStr">
        <is>
          <t>No.</t>
        </is>
      </c>
      <c r="E19" s="70" t="n">
        <v>2</v>
      </c>
      <c r="F19" s="71" t="n">
        <v>672</v>
      </c>
      <c r="G19" s="71">
        <f>E19*F19</f>
        <v/>
      </c>
      <c r="H19" s="71" t="n">
        <v>186.5</v>
      </c>
      <c r="I19" s="71">
        <f>E19*H19</f>
        <v/>
      </c>
      <c r="J19" s="70" t="inlineStr">
        <is>
          <t>B.P. 393</t>
        </is>
      </c>
    </row>
    <row r="20" ht="15" customHeight="1" s="66">
      <c r="A20" s="70" t="n">
        <v>16</v>
      </c>
      <c r="B20" s="70" t="inlineStr">
        <is>
          <t>Gloves 7.0 ×3</t>
        </is>
      </c>
      <c r="C20" s="70" t="n"/>
      <c r="D20" s="70" t="inlineStr">
        <is>
          <t>No.</t>
        </is>
      </c>
      <c r="E20" s="70" t="n">
        <v>3</v>
      </c>
      <c r="F20" s="71" t="n">
        <v>91</v>
      </c>
      <c r="G20" s="71">
        <f>E20*F20</f>
        <v/>
      </c>
      <c r="H20" s="71" t="n">
        <v>19.06</v>
      </c>
      <c r="I20" s="71">
        <f>E20*H20</f>
        <v/>
      </c>
      <c r="J20" s="70" t="inlineStr">
        <is>
          <t>Vivekananda F/747</t>
        </is>
      </c>
    </row>
    <row r="21" ht="15" customHeight="1" s="66">
      <c r="A21" s="70" t="n">
        <v>17</v>
      </c>
      <c r="B21" s="70" t="inlineStr">
        <is>
          <t>NS 1000ml ×2</t>
        </is>
      </c>
      <c r="C21" s="70" t="n"/>
      <c r="D21" s="70" t="inlineStr">
        <is>
          <t>No.</t>
        </is>
      </c>
      <c r="E21" s="70" t="n">
        <v>2</v>
      </c>
      <c r="F21" s="71" t="n">
        <v>61.17</v>
      </c>
      <c r="G21" s="71">
        <f>E21*F21</f>
        <v/>
      </c>
      <c r="H21" s="71" t="n">
        <v>30.48</v>
      </c>
      <c r="I21" s="71">
        <f>E21*H21</f>
        <v/>
      </c>
      <c r="J21" s="70" t="inlineStr">
        <is>
          <t>S.S.B. S000645</t>
        </is>
      </c>
    </row>
    <row r="22" ht="15" customHeight="1" s="66">
      <c r="A22" s="70" t="n">
        <v>18</v>
      </c>
      <c r="B22" s="70" t="inlineStr">
        <is>
          <t>Betadine Lotion 10% 100ml</t>
        </is>
      </c>
      <c r="C22" s="70" t="n"/>
      <c r="D22" s="70" t="inlineStr">
        <is>
          <t>No.</t>
        </is>
      </c>
      <c r="E22" s="70" t="n">
        <v>1</v>
      </c>
      <c r="F22" s="71" t="n">
        <v>151.33</v>
      </c>
      <c r="G22" s="71">
        <f>E22*F22</f>
        <v/>
      </c>
      <c r="H22" s="71" t="n">
        <v>85.70999999999999</v>
      </c>
      <c r="I22" s="71">
        <f>E22*H22</f>
        <v/>
      </c>
      <c r="J22" s="70" t="inlineStr">
        <is>
          <t>S.S.B. S000645</t>
        </is>
      </c>
    </row>
    <row r="23" ht="15" customHeight="1" s="66">
      <c r="A23" s="125" t="n">
        <v>19</v>
      </c>
      <c r="B23" s="125" t="inlineStr">
        <is>
          <t>CBG Blood Glucose Test ×2</t>
        </is>
      </c>
      <c r="C23" s="125" t="n"/>
      <c r="D23" s="125" t="inlineStr">
        <is>
          <t>No.</t>
        </is>
      </c>
      <c r="E23" s="125" t="n">
        <v>2</v>
      </c>
      <c r="F23" s="125" t="n">
        <v>785</v>
      </c>
      <c r="G23" s="125" t="n">
        <v>1570</v>
      </c>
      <c r="H23" s="125" t="inlineStr">
        <is>
          <t>⚠</t>
        </is>
      </c>
      <c r="I23" s="125" t="inlineStr">
        <is>
          <t>⚠</t>
        </is>
      </c>
      <c r="J23" s="125" t="inlineStr">
        <is>
          <t>MRP filled; cost ⚠</t>
        </is>
      </c>
    </row>
    <row r="24" ht="15" customHeight="1" s="66">
      <c r="A24" s="70" t="n">
        <v>20</v>
      </c>
      <c r="B24" s="70" t="inlineStr">
        <is>
          <t>Inj. Monocef 1g (Ceftriaxone) ×3</t>
        </is>
      </c>
      <c r="C24" s="70" t="n"/>
      <c r="D24" s="70" t="inlineStr">
        <is>
          <t>No.</t>
        </is>
      </c>
      <c r="E24" s="70" t="n">
        <v>3</v>
      </c>
      <c r="F24" s="71" t="n">
        <v>66.64</v>
      </c>
      <c r="G24" s="71">
        <f>E24*F24</f>
        <v/>
      </c>
      <c r="H24" s="71" t="n">
        <v>25.71</v>
      </c>
      <c r="I24" s="71">
        <f>E24*H24</f>
        <v/>
      </c>
      <c r="J24" s="70" t="inlineStr">
        <is>
          <t>S.S.B. S000135</t>
        </is>
      </c>
    </row>
    <row r="25" ht="15" customHeight="1" s="66">
      <c r="A25" s="70" t="n">
        <v>21</v>
      </c>
      <c r="B25" s="70" t="inlineStr">
        <is>
          <t>NS 500ml</t>
        </is>
      </c>
      <c r="C25" s="70" t="n"/>
      <c r="D25" s="70" t="inlineStr">
        <is>
          <t>No.</t>
        </is>
      </c>
      <c r="E25" s="70" t="n">
        <v>1</v>
      </c>
      <c r="F25" s="71" t="n">
        <v>36.6</v>
      </c>
      <c r="G25" s="71">
        <f>E25*F25</f>
        <v/>
      </c>
      <c r="H25" s="71" t="n">
        <v>17.62</v>
      </c>
      <c r="I25" s="71">
        <f>E25*H25</f>
        <v/>
      </c>
      <c r="J25" s="70" t="inlineStr">
        <is>
          <t>S.S.B. S000645</t>
        </is>
      </c>
    </row>
    <row r="26" ht="15" customHeight="1" s="66">
      <c r="A26" s="70" t="n">
        <v>22</v>
      </c>
      <c r="B26" s="70" t="inlineStr">
        <is>
          <t>Syringe 10ml</t>
        </is>
      </c>
      <c r="C26" s="70" t="n"/>
      <c r="D26" s="70" t="inlineStr">
        <is>
          <t>No.</t>
        </is>
      </c>
      <c r="E26" s="70" t="n">
        <v>1</v>
      </c>
      <c r="F26" s="71" t="n">
        <v>13.3</v>
      </c>
      <c r="G26" s="71">
        <f>E26*F26</f>
        <v/>
      </c>
      <c r="H26" s="71" t="n">
        <v>5.3</v>
      </c>
      <c r="I26" s="71">
        <f>E26*H26</f>
        <v/>
      </c>
      <c r="J26" s="70" t="inlineStr">
        <is>
          <t>M.R. MR000753</t>
        </is>
      </c>
    </row>
    <row r="27" ht="15" customHeight="1" s="66">
      <c r="A27" s="70" t="n">
        <v>23</v>
      </c>
      <c r="B27" s="70" t="inlineStr">
        <is>
          <t>Nasal Cannula Adult</t>
        </is>
      </c>
      <c r="C27" s="70" t="n"/>
      <c r="D27" s="70" t="inlineStr">
        <is>
          <t>No.</t>
        </is>
      </c>
      <c r="E27" s="70" t="n">
        <v>1</v>
      </c>
      <c r="F27" s="71" t="n">
        <v>198</v>
      </c>
      <c r="G27" s="71">
        <f>E27*F27</f>
        <v/>
      </c>
      <c r="H27" s="71" t="n">
        <v>7.14</v>
      </c>
      <c r="I27" s="71">
        <f>E27*H27</f>
        <v/>
      </c>
      <c r="J27" s="70" t="inlineStr">
        <is>
          <t>S.S.B. S000399</t>
        </is>
      </c>
    </row>
    <row r="28" ht="15" customHeight="1" s="66">
      <c r="A28" s="125" t="n">
        <v>24</v>
      </c>
      <c r="B28" s="125" t="inlineStr">
        <is>
          <t>Inj. Meropenem 1g (Pem) ×3</t>
        </is>
      </c>
      <c r="C28" s="125" t="n"/>
      <c r="D28" s="125" t="inlineStr">
        <is>
          <t>No.</t>
        </is>
      </c>
      <c r="E28" s="125" t="n">
        <v>3</v>
      </c>
      <c r="F28" s="125" t="n">
        <v>1085</v>
      </c>
      <c r="G28" s="125" t="n">
        <v>3255</v>
      </c>
      <c r="H28" s="125" t="inlineStr">
        <is>
          <t>⚠</t>
        </is>
      </c>
      <c r="I28" s="125" t="inlineStr">
        <is>
          <t>⚠</t>
        </is>
      </c>
      <c r="J28" s="125" t="inlineStr">
        <is>
          <t>MRP filled; cost ⚠</t>
        </is>
      </c>
    </row>
    <row r="29" ht="15" customHeight="1" s="66">
      <c r="A29" s="126" t="inlineStr">
        <is>
          <t xml:space="preserve">  Subtotal — Consumables / Medicines</t>
        </is>
      </c>
      <c r="G29" s="127">
        <f>SUM(G5:G28)</f>
        <v/>
      </c>
      <c r="H29" s="128" t="n"/>
      <c r="I29" s="127">
        <f>SUM(I5:I28)</f>
        <v/>
      </c>
      <c r="J29" s="128" t="n"/>
    </row>
    <row r="31" ht="15" customHeight="1" s="66">
      <c r="A31" s="124" t="inlineStr">
        <is>
          <t xml:space="preserve">  SECTION B — ROOM / BED CHARGES</t>
        </is>
      </c>
    </row>
    <row r="32" ht="15" customHeight="1" s="66">
      <c r="A32" s="70" t="n">
        <v>1</v>
      </c>
      <c r="B32" s="70" t="inlineStr">
        <is>
          <t>Bed / Room Charges</t>
        </is>
      </c>
      <c r="C32" s="70" t="inlineStr">
        <is>
          <t>Ward</t>
        </is>
      </c>
      <c r="D32" s="70" t="inlineStr">
        <is>
          <t>Day</t>
        </is>
      </c>
      <c r="E32" s="70" t="n">
        <v>1</v>
      </c>
      <c r="F32" s="71" t="n">
        <v>1000</v>
      </c>
      <c r="G32" s="71">
        <f>E32*F32</f>
        <v/>
      </c>
      <c r="H32" s="70" t="inlineStr">
        <is>
          <t>—</t>
        </is>
      </c>
      <c r="I32" s="70" t="inlineStr">
        <is>
          <t>—</t>
        </is>
      </c>
      <c r="J32" s="70" t="inlineStr">
        <is>
          <t>Per sheet</t>
        </is>
      </c>
    </row>
    <row r="34" ht="15" customHeight="1" s="66">
      <c r="A34" s="124" t="inlineStr">
        <is>
          <t xml:space="preserve">  SECTION C — OT / PROCEDURE CHARGES</t>
        </is>
      </c>
    </row>
    <row r="35" ht="15" customHeight="1" s="66">
      <c r="A35" s="70" t="n">
        <v>1</v>
      </c>
      <c r="B35" s="70" t="inlineStr">
        <is>
          <t>OT / Procedure Charges</t>
        </is>
      </c>
      <c r="C35" s="70" t="inlineStr">
        <is>
          <t>Per procedure</t>
        </is>
      </c>
      <c r="D35" s="70" t="inlineStr">
        <is>
          <t>—</t>
        </is>
      </c>
      <c r="E35" s="70" t="n">
        <v>1</v>
      </c>
      <c r="F35" s="71" t="n">
        <v>1500</v>
      </c>
      <c r="G35" s="71">
        <f>E35*F35</f>
        <v/>
      </c>
      <c r="H35" s="70" t="inlineStr">
        <is>
          <t>—</t>
        </is>
      </c>
      <c r="I35" s="70" t="inlineStr">
        <is>
          <t>—</t>
        </is>
      </c>
      <c r="J35" s="70" t="inlineStr">
        <is>
          <t>Per sheet</t>
        </is>
      </c>
    </row>
    <row r="37" ht="15" customHeight="1" s="66">
      <c r="A37" s="72" t="inlineStr">
        <is>
          <t>GRAND TOTAL PATIENT BILL</t>
        </is>
      </c>
      <c r="G37" s="73">
        <f>G29+SUM(G32:G32)+SUM(G35:G35)</f>
        <v/>
      </c>
      <c r="H37" s="73">
        <f>I29</f>
        <v/>
      </c>
      <c r="I37" s="73">
        <f>G37-H37</f>
        <v/>
      </c>
      <c r="J37" s="72" t="inlineStr">
        <is>
          <t>Bill | Cost | Margin</t>
        </is>
      </c>
    </row>
  </sheetData>
  <mergeCells count="6">
    <mergeCell ref="A1:J1"/>
    <mergeCell ref="A31:J31"/>
    <mergeCell ref="A37:F37"/>
    <mergeCell ref="A3:J3"/>
    <mergeCell ref="A34:J34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J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Basudeb Roy</t>
        </is>
      </c>
      <c r="E2" s="123" t="inlineStr">
        <is>
          <t>Doctor: Dr. S. Gupta</t>
        </is>
      </c>
      <c r="G2" s="123" t="inlineStr">
        <is>
          <t>Date: 11/07/2026</t>
        </is>
      </c>
      <c r="I2" s="123" t="inlineStr">
        <is>
          <t>Proc: Cystoscopy — LA/Self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125" t="n">
        <v>1</v>
      </c>
      <c r="B5" s="125" t="inlineStr">
        <is>
          <t>Cap + Mask ×2</t>
        </is>
      </c>
      <c r="C5" s="125" t="n"/>
      <c r="D5" s="125" t="inlineStr">
        <is>
          <t>No.</t>
        </is>
      </c>
      <c r="E5" s="125" t="n">
        <v>2</v>
      </c>
      <c r="F5" s="125" t="n">
        <v>25</v>
      </c>
      <c r="G5" s="125" t="n">
        <v>50</v>
      </c>
      <c r="H5" s="125" t="inlineStr">
        <is>
          <t>⚠</t>
        </is>
      </c>
      <c r="I5" s="125" t="inlineStr">
        <is>
          <t>⚠</t>
        </is>
      </c>
      <c r="J5" s="125" t="inlineStr">
        <is>
          <t>MRP filled; cost ⚠</t>
        </is>
      </c>
    </row>
    <row r="6" ht="15" customHeight="1" s="66">
      <c r="A6" s="125" t="n">
        <v>2</v>
      </c>
      <c r="B6" s="125" t="inlineStr">
        <is>
          <t>Gauze Pieces ×10</t>
        </is>
      </c>
      <c r="C6" s="125" t="n"/>
      <c r="D6" s="125" t="inlineStr">
        <is>
          <t>No.</t>
        </is>
      </c>
      <c r="E6" s="125" t="n">
        <v>10</v>
      </c>
      <c r="F6" s="125" t="n">
        <v>14</v>
      </c>
      <c r="G6" s="125" t="n">
        <v>140</v>
      </c>
      <c r="H6" s="125" t="n">
        <v>5.46</v>
      </c>
      <c r="I6" s="125" t="n">
        <v>54.6</v>
      </c>
      <c r="J6" s="125" t="inlineStr">
        <is>
          <t>Filled from stock/rate card</t>
        </is>
      </c>
    </row>
    <row r="7" ht="15" customHeight="1" s="66">
      <c r="A7" s="70" t="n">
        <v>3</v>
      </c>
      <c r="B7" s="70" t="inlineStr">
        <is>
          <t>OT Mop / Abd. Swab</t>
        </is>
      </c>
      <c r="C7" s="70" t="n"/>
      <c r="D7" s="70" t="inlineStr">
        <is>
          <t>No.</t>
        </is>
      </c>
      <c r="E7" s="70" t="n">
        <v>1</v>
      </c>
      <c r="F7" s="71" t="n">
        <v>95</v>
      </c>
      <c r="G7" s="71">
        <f>E7*F7</f>
        <v/>
      </c>
      <c r="H7" s="71" t="n">
        <v>40.15</v>
      </c>
      <c r="I7" s="71">
        <f>E7*H7</f>
        <v/>
      </c>
      <c r="J7" s="70" t="inlineStr">
        <is>
          <t>B.P. 349</t>
        </is>
      </c>
    </row>
    <row r="8" ht="15" customHeight="1" s="66">
      <c r="A8" s="70" t="n">
        <v>4</v>
      </c>
      <c r="B8" s="70" t="inlineStr">
        <is>
          <t>Cotton Roll / Pad ×2</t>
        </is>
      </c>
      <c r="C8" s="70" t="n"/>
      <c r="D8" s="70" t="inlineStr">
        <is>
          <t>No.</t>
        </is>
      </c>
      <c r="E8" s="70" t="n">
        <v>2</v>
      </c>
      <c r="F8" s="71" t="n">
        <v>160</v>
      </c>
      <c r="G8" s="71">
        <f>E8*F8</f>
        <v/>
      </c>
      <c r="H8" s="71" t="n">
        <v>47.62</v>
      </c>
      <c r="I8" s="71">
        <f>E8*H8</f>
        <v/>
      </c>
      <c r="J8" s="70" t="inlineStr">
        <is>
          <t>S.S.B. S000645</t>
        </is>
      </c>
    </row>
    <row r="9" ht="15" customHeight="1" s="66">
      <c r="A9" s="70" t="n">
        <v>5</v>
      </c>
      <c r="B9" s="70" t="inlineStr">
        <is>
          <t>Plain Sheet</t>
        </is>
      </c>
      <c r="C9" s="70" t="n"/>
      <c r="D9" s="70" t="inlineStr">
        <is>
          <t>No.</t>
        </is>
      </c>
      <c r="E9" s="70" t="n">
        <v>1</v>
      </c>
      <c r="F9" s="71" t="n">
        <v>119.5</v>
      </c>
      <c r="G9" s="71">
        <f>E9*F9</f>
        <v/>
      </c>
      <c r="H9" s="71" t="n">
        <v>57.96</v>
      </c>
      <c r="I9" s="71">
        <f>E9*H9</f>
        <v/>
      </c>
      <c r="J9" s="70" t="inlineStr">
        <is>
          <t>M.R. MR000352</t>
        </is>
      </c>
    </row>
    <row r="10" ht="15" customHeight="1" s="66">
      <c r="A10" s="125" t="n">
        <v>6</v>
      </c>
      <c r="B10" s="125" t="inlineStr">
        <is>
          <t>2% Xylocaine Jelly</t>
        </is>
      </c>
      <c r="C10" s="125" t="n"/>
      <c r="D10" s="125" t="inlineStr">
        <is>
          <t>No.</t>
        </is>
      </c>
      <c r="E10" s="125" t="n">
        <v>1</v>
      </c>
      <c r="F10" s="125" t="n">
        <v>34.58</v>
      </c>
      <c r="G10" s="125" t="n">
        <v>34.58</v>
      </c>
      <c r="H10" s="125" t="n">
        <v>27</v>
      </c>
      <c r="I10" s="125" t="n">
        <v>27</v>
      </c>
      <c r="J10" s="125" t="inlineStr">
        <is>
          <t>Filled from stock/rate card</t>
        </is>
      </c>
    </row>
    <row r="11" ht="15" customHeight="1" s="66">
      <c r="A11" s="70" t="n">
        <v>7</v>
      </c>
      <c r="B11" s="70" t="inlineStr">
        <is>
          <t>Gloves 7.0 ×2</t>
        </is>
      </c>
      <c r="C11" s="70" t="n"/>
      <c r="D11" s="70" t="inlineStr">
        <is>
          <t>No.</t>
        </is>
      </c>
      <c r="E11" s="70" t="n">
        <v>2</v>
      </c>
      <c r="F11" s="71" t="n">
        <v>91</v>
      </c>
      <c r="G11" s="71">
        <f>E11*F11</f>
        <v/>
      </c>
      <c r="H11" s="71" t="n">
        <v>19.06</v>
      </c>
      <c r="I11" s="71">
        <f>E11*H11</f>
        <v/>
      </c>
      <c r="J11" s="70" t="inlineStr">
        <is>
          <t>Vivekananda F/747</t>
        </is>
      </c>
    </row>
    <row r="12" ht="15" customHeight="1" s="66">
      <c r="A12" s="70" t="n">
        <v>8</v>
      </c>
      <c r="B12" s="70" t="inlineStr">
        <is>
          <t>NS 1000ml ×3</t>
        </is>
      </c>
      <c r="C12" s="70" t="n"/>
      <c r="D12" s="70" t="inlineStr">
        <is>
          <t>No.</t>
        </is>
      </c>
      <c r="E12" s="70" t="n">
        <v>3</v>
      </c>
      <c r="F12" s="71" t="n">
        <v>61.17</v>
      </c>
      <c r="G12" s="71">
        <f>E12*F12</f>
        <v/>
      </c>
      <c r="H12" s="71" t="n">
        <v>30.48</v>
      </c>
      <c r="I12" s="71">
        <f>E12*H12</f>
        <v/>
      </c>
      <c r="J12" s="70" t="inlineStr">
        <is>
          <t>S.S.B. S000645</t>
        </is>
      </c>
    </row>
    <row r="13" ht="15" customHeight="1" s="66">
      <c r="A13" s="70" t="n">
        <v>9</v>
      </c>
      <c r="B13" s="70" t="inlineStr">
        <is>
          <t>Betadine Lotion 100ml</t>
        </is>
      </c>
      <c r="C13" s="70" t="n"/>
      <c r="D13" s="70" t="inlineStr">
        <is>
          <t>No.</t>
        </is>
      </c>
      <c r="E13" s="70" t="n">
        <v>1</v>
      </c>
      <c r="F13" s="71" t="n">
        <v>151.33</v>
      </c>
      <c r="G13" s="71">
        <f>E13*F13</f>
        <v/>
      </c>
      <c r="H13" s="71" t="n">
        <v>85.70999999999999</v>
      </c>
      <c r="I13" s="71">
        <f>E13*H13</f>
        <v/>
      </c>
      <c r="J13" s="70" t="inlineStr">
        <is>
          <t>S.S.B. S000645</t>
        </is>
      </c>
    </row>
    <row r="14" ht="15" customHeight="1" s="66">
      <c r="A14" s="126" t="inlineStr">
        <is>
          <t xml:space="preserve">  Subtotal — Consumables / Medicines</t>
        </is>
      </c>
      <c r="G14" s="127">
        <f>SUM(G5:G13)</f>
        <v/>
      </c>
      <c r="H14" s="128" t="n"/>
      <c r="I14" s="127">
        <f>SUM(I5:I13)</f>
        <v/>
      </c>
      <c r="J14" s="128" t="n"/>
    </row>
    <row r="16" ht="15" customHeight="1" s="66">
      <c r="A16" s="124" t="inlineStr">
        <is>
          <t xml:space="preserve">  SECTION B — ROOM / BED CHARGES</t>
        </is>
      </c>
    </row>
    <row r="17" ht="15" customHeight="1" s="66">
      <c r="A17" s="70" t="n">
        <v>1</v>
      </c>
      <c r="B17" s="70" t="inlineStr">
        <is>
          <t>Bed / Room Charges</t>
        </is>
      </c>
      <c r="C17" s="70" t="inlineStr">
        <is>
          <t>Ward</t>
        </is>
      </c>
      <c r="D17" s="70" t="inlineStr">
        <is>
          <t>Day</t>
        </is>
      </c>
      <c r="E17" s="70" t="n">
        <v>1</v>
      </c>
      <c r="F17" s="71" t="n">
        <v>1000</v>
      </c>
      <c r="G17" s="71">
        <f>E17*F17</f>
        <v/>
      </c>
      <c r="H17" s="70" t="inlineStr">
        <is>
          <t>—</t>
        </is>
      </c>
      <c r="I17" s="70" t="inlineStr">
        <is>
          <t>—</t>
        </is>
      </c>
      <c r="J17" s="70" t="inlineStr">
        <is>
          <t>Per sheet</t>
        </is>
      </c>
    </row>
    <row r="19" ht="15" customHeight="1" s="66">
      <c r="A19" s="124" t="inlineStr">
        <is>
          <t xml:space="preserve">  SECTION C — OT / PROCEDURE CHARGES</t>
        </is>
      </c>
    </row>
    <row r="20" ht="15" customHeight="1" s="66">
      <c r="A20" s="70" t="n">
        <v>1</v>
      </c>
      <c r="B20" s="70" t="inlineStr">
        <is>
          <t>OT / Procedure Charges</t>
        </is>
      </c>
      <c r="C20" s="70" t="inlineStr">
        <is>
          <t>Per procedure</t>
        </is>
      </c>
      <c r="D20" s="70" t="inlineStr">
        <is>
          <t>—</t>
        </is>
      </c>
      <c r="E20" s="70" t="n">
        <v>1</v>
      </c>
      <c r="F20" s="71" t="n">
        <v>1500</v>
      </c>
      <c r="G20" s="71">
        <f>E20*F20</f>
        <v/>
      </c>
      <c r="H20" s="70" t="inlineStr">
        <is>
          <t>—</t>
        </is>
      </c>
      <c r="I20" s="70" t="inlineStr">
        <is>
          <t>—</t>
        </is>
      </c>
      <c r="J20" s="70" t="inlineStr">
        <is>
          <t>Per sheet</t>
        </is>
      </c>
    </row>
    <row r="22" ht="15" customHeight="1" s="66">
      <c r="A22" s="72" t="inlineStr">
        <is>
          <t>GRAND TOTAL PATIENT BILL</t>
        </is>
      </c>
      <c r="G22" s="73">
        <f>G14+SUM(G17:G17)+SUM(G20:G20)</f>
        <v/>
      </c>
      <c r="H22" s="73">
        <f>I14</f>
        <v/>
      </c>
      <c r="I22" s="73">
        <f>G22-H22</f>
        <v/>
      </c>
      <c r="J22" s="72" t="inlineStr">
        <is>
          <t>Bill | Cost | Margin</t>
        </is>
      </c>
    </row>
  </sheetData>
  <mergeCells count="6">
    <mergeCell ref="A1:J1"/>
    <mergeCell ref="A14:F14"/>
    <mergeCell ref="A3:J3"/>
    <mergeCell ref="A22:F22"/>
    <mergeCell ref="A16:J16"/>
    <mergeCell ref="A19:J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J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Chiradeep Chokrobarty</t>
        </is>
      </c>
      <c r="E2" s="123" t="inlineStr">
        <is>
          <t>Doctor: Dr. S. Gupta</t>
        </is>
      </c>
      <c r="G2" s="123" t="inlineStr">
        <is>
          <t>Date: 07/05/2026</t>
        </is>
      </c>
      <c r="I2" s="123" t="inlineStr">
        <is>
          <t>Proc: Cystoscopy — LA/Self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125" t="n">
        <v>1</v>
      </c>
      <c r="B5" s="125" t="inlineStr">
        <is>
          <t>Cap + Mask ×2</t>
        </is>
      </c>
      <c r="C5" s="125" t="n"/>
      <c r="D5" s="125" t="inlineStr">
        <is>
          <t>No.</t>
        </is>
      </c>
      <c r="E5" s="125" t="n">
        <v>2</v>
      </c>
      <c r="F5" s="125" t="n">
        <v>25</v>
      </c>
      <c r="G5" s="125" t="n">
        <v>50</v>
      </c>
      <c r="H5" s="125" t="inlineStr">
        <is>
          <t>⚠</t>
        </is>
      </c>
      <c r="I5" s="125" t="inlineStr">
        <is>
          <t>⚠</t>
        </is>
      </c>
      <c r="J5" s="125" t="inlineStr">
        <is>
          <t>MRP filled; cost ⚠</t>
        </is>
      </c>
    </row>
    <row r="6" ht="15" customHeight="1" s="66">
      <c r="A6" s="125" t="n">
        <v>2</v>
      </c>
      <c r="B6" s="125" t="inlineStr">
        <is>
          <t>Gauze Pieces ×10</t>
        </is>
      </c>
      <c r="C6" s="125" t="n"/>
      <c r="D6" s="125" t="inlineStr">
        <is>
          <t>No.</t>
        </is>
      </c>
      <c r="E6" s="125" t="n">
        <v>10</v>
      </c>
      <c r="F6" s="125" t="n">
        <v>14</v>
      </c>
      <c r="G6" s="125" t="n">
        <v>140</v>
      </c>
      <c r="H6" s="125" t="n">
        <v>5.46</v>
      </c>
      <c r="I6" s="125" t="n">
        <v>54.6</v>
      </c>
      <c r="J6" s="125" t="inlineStr">
        <is>
          <t>Filled from stock/rate card</t>
        </is>
      </c>
    </row>
    <row r="7" ht="15" customHeight="1" s="66">
      <c r="A7" s="70" t="n">
        <v>3</v>
      </c>
      <c r="B7" s="70" t="inlineStr">
        <is>
          <t>Gloves 7.0</t>
        </is>
      </c>
      <c r="C7" s="70" t="n"/>
      <c r="D7" s="70" t="inlineStr">
        <is>
          <t>No.</t>
        </is>
      </c>
      <c r="E7" s="70" t="n">
        <v>1</v>
      </c>
      <c r="F7" s="71" t="n">
        <v>91</v>
      </c>
      <c r="G7" s="71">
        <f>E7*F7</f>
        <v/>
      </c>
      <c r="H7" s="71" t="n">
        <v>19.06</v>
      </c>
      <c r="I7" s="71">
        <f>E7*H7</f>
        <v/>
      </c>
      <c r="J7" s="70" t="inlineStr">
        <is>
          <t>Vivekananda F/747</t>
        </is>
      </c>
    </row>
    <row r="8" ht="15" customHeight="1" s="66">
      <c r="A8" s="70" t="n">
        <v>4</v>
      </c>
      <c r="B8" s="70" t="inlineStr">
        <is>
          <t>Gloves 6.5</t>
        </is>
      </c>
      <c r="C8" s="70" t="n"/>
      <c r="D8" s="70" t="inlineStr">
        <is>
          <t>No.</t>
        </is>
      </c>
      <c r="E8" s="70" t="n">
        <v>1</v>
      </c>
      <c r="F8" s="71" t="n">
        <v>91</v>
      </c>
      <c r="G8" s="71">
        <f>E8*F8</f>
        <v/>
      </c>
      <c r="H8" s="71" t="n">
        <v>19.06</v>
      </c>
      <c r="I8" s="71">
        <f>E8*H8</f>
        <v/>
      </c>
      <c r="J8" s="70" t="inlineStr">
        <is>
          <t>Vivekananda F/747</t>
        </is>
      </c>
    </row>
    <row r="9" ht="15" customHeight="1" s="66">
      <c r="A9" s="70" t="n">
        <v>5</v>
      </c>
      <c r="B9" s="70" t="inlineStr">
        <is>
          <t>Betadine Lotion 25 ml</t>
        </is>
      </c>
      <c r="C9" s="70" t="n"/>
      <c r="D9" s="70" t="inlineStr">
        <is>
          <t>No.</t>
        </is>
      </c>
      <c r="E9" s="70" t="n">
        <v>1</v>
      </c>
      <c r="F9" s="71" t="n">
        <v>151.33</v>
      </c>
      <c r="G9" s="71">
        <f>E9*F9</f>
        <v/>
      </c>
      <c r="H9" s="71" t="n">
        <v>85.70999999999999</v>
      </c>
      <c r="I9" s="71">
        <f>E9*H9</f>
        <v/>
      </c>
      <c r="J9" s="70" t="inlineStr">
        <is>
          <t>S.S.B. S000645</t>
        </is>
      </c>
    </row>
    <row r="10" ht="15" customHeight="1" s="66">
      <c r="A10" s="126" t="inlineStr">
        <is>
          <t xml:space="preserve">  Subtotal — Consumables / Medicines</t>
        </is>
      </c>
      <c r="G10" s="127">
        <f>SUM(G5:G9)</f>
        <v/>
      </c>
      <c r="H10" s="128" t="n"/>
      <c r="I10" s="127">
        <f>SUM(I5:I9)</f>
        <v/>
      </c>
      <c r="J10" s="128" t="n"/>
    </row>
    <row r="12" ht="15" customHeight="1" s="66">
      <c r="A12" s="124" t="inlineStr">
        <is>
          <t xml:space="preserve">  SECTION B — ROOM / BED CHARGES</t>
        </is>
      </c>
    </row>
    <row r="13" ht="15" customHeight="1" s="66">
      <c r="A13" s="70" t="n">
        <v>1</v>
      </c>
      <c r="B13" s="70" t="inlineStr">
        <is>
          <t>Bed / Room Charges</t>
        </is>
      </c>
      <c r="C13" s="70" t="inlineStr">
        <is>
          <t>Ward</t>
        </is>
      </c>
      <c r="D13" s="70" t="inlineStr">
        <is>
          <t>Day</t>
        </is>
      </c>
      <c r="E13" s="70" t="n">
        <v>1</v>
      </c>
      <c r="F13" s="71" t="n">
        <v>1000</v>
      </c>
      <c r="G13" s="71">
        <f>E13*F13</f>
        <v/>
      </c>
      <c r="H13" s="70" t="inlineStr">
        <is>
          <t>—</t>
        </is>
      </c>
      <c r="I13" s="70" t="inlineStr">
        <is>
          <t>—</t>
        </is>
      </c>
      <c r="J13" s="70" t="inlineStr">
        <is>
          <t>Per sheet</t>
        </is>
      </c>
    </row>
    <row r="15" ht="15" customHeight="1" s="66">
      <c r="A15" s="124" t="inlineStr">
        <is>
          <t xml:space="preserve">  SECTION C — OT / PROCEDURE CHARGES</t>
        </is>
      </c>
    </row>
    <row r="16" ht="15" customHeight="1" s="66">
      <c r="A16" s="70" t="n">
        <v>1</v>
      </c>
      <c r="B16" s="70" t="inlineStr">
        <is>
          <t>OT / Procedure Charges</t>
        </is>
      </c>
      <c r="C16" s="70" t="inlineStr">
        <is>
          <t>Per procedure</t>
        </is>
      </c>
      <c r="D16" s="70" t="inlineStr">
        <is>
          <t>—</t>
        </is>
      </c>
      <c r="E16" s="70" t="n">
        <v>1</v>
      </c>
      <c r="F16" s="71" t="n">
        <v>1500</v>
      </c>
      <c r="G16" s="71">
        <f>E16*F16</f>
        <v/>
      </c>
      <c r="H16" s="70" t="inlineStr">
        <is>
          <t>—</t>
        </is>
      </c>
      <c r="I16" s="70" t="inlineStr">
        <is>
          <t>—</t>
        </is>
      </c>
      <c r="J16" s="70" t="inlineStr">
        <is>
          <t>Per sheet</t>
        </is>
      </c>
    </row>
    <row r="18" ht="15" customHeight="1" s="66">
      <c r="A18" s="72" t="inlineStr">
        <is>
          <t>GRAND TOTAL PATIENT BILL</t>
        </is>
      </c>
      <c r="G18" s="73">
        <f>G10+SUM(G13:G13)+SUM(G16:G16)</f>
        <v/>
      </c>
      <c r="H18" s="73">
        <f>I10</f>
        <v/>
      </c>
      <c r="I18" s="73">
        <f>G18-H18</f>
        <v/>
      </c>
      <c r="J18" s="72" t="inlineStr">
        <is>
          <t>Bill | Cost | Margin</t>
        </is>
      </c>
    </row>
  </sheetData>
  <mergeCells count="6">
    <mergeCell ref="A1:J1"/>
    <mergeCell ref="A10:F10"/>
    <mergeCell ref="A3:J3"/>
    <mergeCell ref="A15:J15"/>
    <mergeCell ref="A12:J12"/>
    <mergeCell ref="A18:F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Adigai G</t>
        </is>
      </c>
      <c r="E2" s="123" t="inlineStr">
        <is>
          <t>Doctor: Dr. S. Gupta</t>
        </is>
      </c>
      <c r="G2" s="123" t="inlineStr">
        <is>
          <t>Date: 07/05/2026</t>
        </is>
      </c>
      <c r="I2" s="123" t="inlineStr">
        <is>
          <t>Proc: Cystoscopy — LA/Self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125" t="n">
        <v>1</v>
      </c>
      <c r="B5" s="125" t="inlineStr">
        <is>
          <t>Cap + Mask ×2</t>
        </is>
      </c>
      <c r="C5" s="125" t="n"/>
      <c r="D5" s="125" t="inlineStr">
        <is>
          <t>No.</t>
        </is>
      </c>
      <c r="E5" s="125" t="n">
        <v>4</v>
      </c>
      <c r="F5" s="125" t="n">
        <v>25</v>
      </c>
      <c r="G5" s="125" t="n">
        <v>100</v>
      </c>
      <c r="H5" s="125" t="inlineStr">
        <is>
          <t>⚠</t>
        </is>
      </c>
      <c r="I5" s="125" t="inlineStr">
        <is>
          <t>⚠</t>
        </is>
      </c>
      <c r="J5" s="125" t="inlineStr">
        <is>
          <t>MRP filled; cost ⚠</t>
        </is>
      </c>
    </row>
    <row r="6" ht="15" customHeight="1" s="66">
      <c r="A6" s="125" t="n">
        <v>2</v>
      </c>
      <c r="B6" s="125" t="inlineStr">
        <is>
          <t>Gauze Pieces ×10</t>
        </is>
      </c>
      <c r="C6" s="125" t="n"/>
      <c r="D6" s="125" t="inlineStr">
        <is>
          <t>No.</t>
        </is>
      </c>
      <c r="E6" s="125" t="n">
        <v>10</v>
      </c>
      <c r="F6" s="125" t="n">
        <v>14</v>
      </c>
      <c r="G6" s="125" t="n">
        <v>140</v>
      </c>
      <c r="H6" s="125" t="n">
        <v>5.46</v>
      </c>
      <c r="I6" s="125" t="n">
        <v>54.6</v>
      </c>
      <c r="J6" s="125" t="inlineStr">
        <is>
          <t>Filled from stock/rate card</t>
        </is>
      </c>
    </row>
    <row r="7" ht="15" customHeight="1" s="66">
      <c r="A7" s="70" t="n">
        <v>3</v>
      </c>
      <c r="B7" s="70" t="inlineStr">
        <is>
          <t>Mop</t>
        </is>
      </c>
      <c r="C7" s="70" t="n"/>
      <c r="D7" s="70" t="inlineStr">
        <is>
          <t>No.</t>
        </is>
      </c>
      <c r="E7" s="70" t="n">
        <v>1</v>
      </c>
      <c r="F7" s="71" t="n">
        <v>95</v>
      </c>
      <c r="G7" s="71">
        <f>E7*F7</f>
        <v/>
      </c>
      <c r="H7" s="71" t="n">
        <v>40.15</v>
      </c>
      <c r="I7" s="71">
        <f>E7*H7</f>
        <v/>
      </c>
      <c r="J7" s="70" t="inlineStr">
        <is>
          <t>B.P. 349</t>
        </is>
      </c>
    </row>
    <row r="8" ht="15" customHeight="1" s="66">
      <c r="A8" s="70" t="n">
        <v>4</v>
      </c>
      <c r="B8" s="70" t="inlineStr">
        <is>
          <t>Apron</t>
        </is>
      </c>
      <c r="C8" s="70" t="n"/>
      <c r="D8" s="70" t="inlineStr">
        <is>
          <t>No.</t>
        </is>
      </c>
      <c r="E8" s="70" t="n">
        <v>2</v>
      </c>
      <c r="F8" s="71" t="n">
        <v>672</v>
      </c>
      <c r="G8" s="71">
        <f>E8*F8</f>
        <v/>
      </c>
      <c r="H8" s="71" t="n">
        <v>186.5</v>
      </c>
      <c r="I8" s="71">
        <f>E8*H8</f>
        <v/>
      </c>
      <c r="J8" s="70" t="inlineStr">
        <is>
          <t>B.P. 393</t>
        </is>
      </c>
    </row>
    <row r="9" ht="15" customHeight="1" s="66">
      <c r="A9" s="70" t="n">
        <v>5</v>
      </c>
      <c r="B9" s="70" t="inlineStr">
        <is>
          <t>Gloves 7.0</t>
        </is>
      </c>
      <c r="C9" s="70" t="n"/>
      <c r="D9" s="70" t="inlineStr">
        <is>
          <t>No.</t>
        </is>
      </c>
      <c r="E9" s="70" t="n">
        <v>1</v>
      </c>
      <c r="F9" s="71" t="n">
        <v>91</v>
      </c>
      <c r="G9" s="71">
        <f>E9*F9</f>
        <v/>
      </c>
      <c r="H9" s="71" t="n">
        <v>19.06</v>
      </c>
      <c r="I9" s="71">
        <f>E9*H9</f>
        <v/>
      </c>
      <c r="J9" s="70" t="inlineStr">
        <is>
          <t>Vivekananda F/747</t>
        </is>
      </c>
    </row>
    <row r="10" ht="15" customHeight="1" s="66">
      <c r="A10" s="70" t="n">
        <v>6</v>
      </c>
      <c r="B10" s="70" t="inlineStr">
        <is>
          <t>Gloves 6.5</t>
        </is>
      </c>
      <c r="C10" s="70" t="n"/>
      <c r="D10" s="70" t="inlineStr">
        <is>
          <t>No.</t>
        </is>
      </c>
      <c r="E10" s="70" t="n">
        <v>1</v>
      </c>
      <c r="F10" s="71" t="n">
        <v>91</v>
      </c>
      <c r="G10" s="71">
        <f>E10*F10</f>
        <v/>
      </c>
      <c r="H10" s="71" t="n">
        <v>19.06</v>
      </c>
      <c r="I10" s="71">
        <f>E10*H10</f>
        <v/>
      </c>
      <c r="J10" s="70" t="inlineStr">
        <is>
          <t>Vivekananda F/747</t>
        </is>
      </c>
    </row>
    <row r="11" ht="15" customHeight="1" s="66">
      <c r="A11" s="70" t="n">
        <v>7</v>
      </c>
      <c r="B11" s="70" t="inlineStr">
        <is>
          <t>Betadine Lotion 25 ml</t>
        </is>
      </c>
      <c r="C11" s="70" t="n"/>
      <c r="D11" s="70" t="inlineStr">
        <is>
          <t>No.</t>
        </is>
      </c>
      <c r="E11" s="70" t="n">
        <v>1</v>
      </c>
      <c r="F11" s="71" t="n">
        <v>151.33</v>
      </c>
      <c r="G11" s="71">
        <f>E11*F11</f>
        <v/>
      </c>
      <c r="H11" s="71" t="n">
        <v>85.70999999999999</v>
      </c>
      <c r="I11" s="71">
        <f>E11*H11</f>
        <v/>
      </c>
      <c r="J11" s="70" t="inlineStr">
        <is>
          <t>S.S.B. S000645</t>
        </is>
      </c>
    </row>
    <row r="12" ht="15" customHeight="1" s="66">
      <c r="A12" s="126" t="inlineStr">
        <is>
          <t xml:space="preserve">  Subtotal — Consumables / Medicines</t>
        </is>
      </c>
      <c r="G12" s="127">
        <f>SUM(G5:G11)</f>
        <v/>
      </c>
      <c r="H12" s="128" t="n"/>
      <c r="I12" s="127">
        <f>SUM(I5:I11)</f>
        <v/>
      </c>
      <c r="J12" s="128" t="n"/>
    </row>
    <row r="14" ht="15" customHeight="1" s="66">
      <c r="A14" s="124" t="inlineStr">
        <is>
          <t xml:space="preserve">  SECTION B — ROOM / BED CHARGES</t>
        </is>
      </c>
    </row>
    <row r="15" ht="15" customHeight="1" s="66">
      <c r="A15" s="70" t="n">
        <v>1</v>
      </c>
      <c r="B15" s="70" t="inlineStr">
        <is>
          <t>Bed / Room Charges</t>
        </is>
      </c>
      <c r="C15" s="70" t="inlineStr">
        <is>
          <t>Ward</t>
        </is>
      </c>
      <c r="D15" s="70" t="inlineStr">
        <is>
          <t>Day</t>
        </is>
      </c>
      <c r="E15" s="70" t="n">
        <v>1</v>
      </c>
      <c r="F15" s="71" t="n">
        <v>1000</v>
      </c>
      <c r="G15" s="71">
        <f>E15*F15</f>
        <v/>
      </c>
      <c r="H15" s="70" t="inlineStr">
        <is>
          <t>—</t>
        </is>
      </c>
      <c r="I15" s="70" t="inlineStr">
        <is>
          <t>—</t>
        </is>
      </c>
      <c r="J15" s="70" t="inlineStr">
        <is>
          <t>Per sheet</t>
        </is>
      </c>
    </row>
    <row r="17" ht="15" customHeight="1" s="66">
      <c r="A17" s="124" t="inlineStr">
        <is>
          <t xml:space="preserve">  SECTION C — OT / PROCEDURE CHARGES</t>
        </is>
      </c>
    </row>
    <row r="18" ht="15" customHeight="1" s="66">
      <c r="A18" s="70" t="n">
        <v>1</v>
      </c>
      <c r="B18" s="70" t="inlineStr">
        <is>
          <t>OT / Procedure Charges</t>
        </is>
      </c>
      <c r="C18" s="70" t="inlineStr">
        <is>
          <t>Per procedure</t>
        </is>
      </c>
      <c r="D18" s="70" t="inlineStr">
        <is>
          <t>—</t>
        </is>
      </c>
      <c r="E18" s="70" t="n">
        <v>1</v>
      </c>
      <c r="F18" s="71" t="n">
        <v>1500</v>
      </c>
      <c r="G18" s="71">
        <f>E18*F18</f>
        <v/>
      </c>
      <c r="H18" s="70" t="inlineStr">
        <is>
          <t>—</t>
        </is>
      </c>
      <c r="I18" s="70" t="inlineStr">
        <is>
          <t>—</t>
        </is>
      </c>
      <c r="J18" s="70" t="inlineStr">
        <is>
          <t>Per sheet</t>
        </is>
      </c>
    </row>
    <row r="20" ht="15" customHeight="1" s="66">
      <c r="A20" s="72" t="inlineStr">
        <is>
          <t>GRAND TOTAL PATIENT BILL</t>
        </is>
      </c>
      <c r="G20" s="73">
        <f>G12+SUM(G15:G15)+SUM(G18:G18)</f>
        <v/>
      </c>
      <c r="H20" s="73">
        <f>I12</f>
        <v/>
      </c>
      <c r="I20" s="73">
        <f>G20-H20</f>
        <v/>
      </c>
      <c r="J20" s="72" t="inlineStr">
        <is>
          <t>Bill | Cost | Margin</t>
        </is>
      </c>
    </row>
  </sheetData>
  <mergeCells count="6">
    <mergeCell ref="A1:J1"/>
    <mergeCell ref="A14:J14"/>
    <mergeCell ref="A17:J17"/>
    <mergeCell ref="A3:J3"/>
    <mergeCell ref="A12:F12"/>
    <mergeCell ref="A20:F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Komal Saraogi</t>
        </is>
      </c>
      <c r="E2" s="123" t="inlineStr">
        <is>
          <t>Doctor: Dr. S. Gupta</t>
        </is>
      </c>
      <c r="G2" s="123" t="inlineStr">
        <is>
          <t>Date: 07/12/2026</t>
        </is>
      </c>
      <c r="I2" s="123" t="inlineStr">
        <is>
          <t>Proc: Cystoscopy — LA/Self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125" t="n">
        <v>1</v>
      </c>
      <c r="B5" s="125" t="inlineStr">
        <is>
          <t>Cap + Mask ×2</t>
        </is>
      </c>
      <c r="C5" s="125" t="n"/>
      <c r="D5" s="125" t="inlineStr">
        <is>
          <t>No.</t>
        </is>
      </c>
      <c r="E5" s="125" t="n">
        <v>6</v>
      </c>
      <c r="F5" s="125" t="n">
        <v>25</v>
      </c>
      <c r="G5" s="125" t="n">
        <v>150</v>
      </c>
      <c r="H5" s="125" t="inlineStr">
        <is>
          <t>⚠</t>
        </is>
      </c>
      <c r="I5" s="125" t="inlineStr">
        <is>
          <t>⚠</t>
        </is>
      </c>
      <c r="J5" s="125" t="inlineStr">
        <is>
          <t>MRP filled; cost ⚠</t>
        </is>
      </c>
    </row>
    <row r="6" ht="15" customHeight="1" s="66">
      <c r="A6" s="125" t="n">
        <v>2</v>
      </c>
      <c r="B6" s="125" t="inlineStr">
        <is>
          <t>Gauze Pieces ×10</t>
        </is>
      </c>
      <c r="C6" s="125" t="n"/>
      <c r="D6" s="125" t="inlineStr">
        <is>
          <t>No.</t>
        </is>
      </c>
      <c r="E6" s="125" t="n">
        <v>10</v>
      </c>
      <c r="F6" s="125" t="n">
        <v>14</v>
      </c>
      <c r="G6" s="125" t="n">
        <v>140</v>
      </c>
      <c r="H6" s="125" t="n">
        <v>5.46</v>
      </c>
      <c r="I6" s="125" t="n">
        <v>54.6</v>
      </c>
      <c r="J6" s="125" t="inlineStr">
        <is>
          <t>Filled from stock/rate card</t>
        </is>
      </c>
    </row>
    <row r="7" ht="15" customHeight="1" s="66">
      <c r="A7" s="70" t="n">
        <v>3</v>
      </c>
      <c r="B7" s="70" t="inlineStr">
        <is>
          <t>Mop</t>
        </is>
      </c>
      <c r="C7" s="70" t="n"/>
      <c r="D7" s="70" t="inlineStr">
        <is>
          <t>No.</t>
        </is>
      </c>
      <c r="E7" s="70" t="n">
        <v>1</v>
      </c>
      <c r="F7" s="71" t="n">
        <v>95</v>
      </c>
      <c r="G7" s="71">
        <f>E7*F7</f>
        <v/>
      </c>
      <c r="H7" s="71" t="n">
        <v>40.15</v>
      </c>
      <c r="I7" s="71">
        <f>E7*H7</f>
        <v/>
      </c>
      <c r="J7" s="70" t="inlineStr">
        <is>
          <t>B.P. 349</t>
        </is>
      </c>
    </row>
    <row r="8" ht="15" customHeight="1" s="66">
      <c r="A8" s="125" t="n">
        <v>4</v>
      </c>
      <c r="B8" s="125" t="inlineStr">
        <is>
          <t>Needle 2cc</t>
        </is>
      </c>
      <c r="C8" s="125" t="n"/>
      <c r="D8" s="125" t="inlineStr">
        <is>
          <t>No.</t>
        </is>
      </c>
      <c r="E8" s="125" t="n">
        <v>1</v>
      </c>
      <c r="F8" s="125" t="n">
        <v>6.04</v>
      </c>
      <c r="G8" s="125" t="n">
        <v>6.04</v>
      </c>
      <c r="H8" s="125" t="n">
        <v>1.9</v>
      </c>
      <c r="I8" s="125" t="n">
        <v>1.9</v>
      </c>
      <c r="J8" s="125" t="inlineStr">
        <is>
          <t>Filled from stock/rate card</t>
        </is>
      </c>
    </row>
    <row r="9" ht="15" customHeight="1" s="66">
      <c r="A9" s="70" t="n">
        <v>5</v>
      </c>
      <c r="B9" s="70" t="inlineStr">
        <is>
          <t>NS 1000ml</t>
        </is>
      </c>
      <c r="C9" s="70" t="n"/>
      <c r="D9" s="70" t="inlineStr">
        <is>
          <t>No.</t>
        </is>
      </c>
      <c r="E9" s="70" t="n">
        <v>1</v>
      </c>
      <c r="F9" s="71" t="n">
        <v>61.17</v>
      </c>
      <c r="G9" s="71">
        <f>E9*F9</f>
        <v/>
      </c>
      <c r="H9" s="71" t="n">
        <v>30.48</v>
      </c>
      <c r="I9" s="71">
        <f>E9*H9</f>
        <v/>
      </c>
      <c r="J9" s="70" t="inlineStr">
        <is>
          <t>S.S.B. S000645</t>
        </is>
      </c>
    </row>
    <row r="10" ht="15" customHeight="1" s="66">
      <c r="A10" s="70" t="n">
        <v>6</v>
      </c>
      <c r="B10" s="70" t="inlineStr">
        <is>
          <t>Gloves 7</t>
        </is>
      </c>
      <c r="C10" s="70" t="n"/>
      <c r="D10" s="70" t="inlineStr">
        <is>
          <t>No.</t>
        </is>
      </c>
      <c r="E10" s="70" t="n">
        <v>2</v>
      </c>
      <c r="F10" s="71" t="n">
        <v>91</v>
      </c>
      <c r="G10" s="71">
        <f>E10*F10</f>
        <v/>
      </c>
      <c r="H10" s="71" t="n">
        <v>19.06</v>
      </c>
      <c r="I10" s="71">
        <f>E10*H10</f>
        <v/>
      </c>
      <c r="J10" s="70" t="inlineStr">
        <is>
          <t>Vivekananda F/747</t>
        </is>
      </c>
    </row>
    <row r="11" ht="15" customHeight="1" s="66">
      <c r="A11" s="70" t="n">
        <v>7</v>
      </c>
      <c r="B11" s="70" t="inlineStr">
        <is>
          <t>Betadine Lotion 10%</t>
        </is>
      </c>
      <c r="C11" s="70" t="n"/>
      <c r="D11" s="70" t="inlineStr">
        <is>
          <t>No.</t>
        </is>
      </c>
      <c r="E11" s="70" t="n">
        <v>1</v>
      </c>
      <c r="F11" s="71" t="n">
        <v>151.33</v>
      </c>
      <c r="G11" s="71">
        <f>E11*F11</f>
        <v/>
      </c>
      <c r="H11" s="71" t="n">
        <v>85.70999999999999</v>
      </c>
      <c r="I11" s="71">
        <f>E11*H11</f>
        <v/>
      </c>
      <c r="J11" s="70" t="inlineStr">
        <is>
          <t>S.S.B. S000645</t>
        </is>
      </c>
    </row>
    <row r="12" ht="15" customHeight="1" s="66">
      <c r="A12" s="126" t="inlineStr">
        <is>
          <t xml:space="preserve">  Subtotal — Consumables / Medicines</t>
        </is>
      </c>
      <c r="G12" s="127">
        <f>SUM(G5:G11)</f>
        <v/>
      </c>
      <c r="H12" s="128" t="n"/>
      <c r="I12" s="127">
        <f>SUM(I5:I11)</f>
        <v/>
      </c>
      <c r="J12" s="128" t="n"/>
    </row>
    <row r="14" ht="15" customHeight="1" s="66">
      <c r="A14" s="124" t="inlineStr">
        <is>
          <t xml:space="preserve">  SECTION B — ROOM / BED CHARGES</t>
        </is>
      </c>
    </row>
    <row r="15" ht="15" customHeight="1" s="66">
      <c r="A15" s="70" t="n">
        <v>1</v>
      </c>
      <c r="B15" s="70" t="inlineStr">
        <is>
          <t>Bed / Room Charges</t>
        </is>
      </c>
      <c r="C15" s="70" t="inlineStr">
        <is>
          <t>Ward</t>
        </is>
      </c>
      <c r="D15" s="70" t="inlineStr">
        <is>
          <t>Day</t>
        </is>
      </c>
      <c r="E15" s="70" t="n">
        <v>1</v>
      </c>
      <c r="F15" s="71" t="n">
        <v>1000</v>
      </c>
      <c r="G15" s="71">
        <f>E15*F15</f>
        <v/>
      </c>
      <c r="H15" s="70" t="inlineStr">
        <is>
          <t>—</t>
        </is>
      </c>
      <c r="I15" s="70" t="inlineStr">
        <is>
          <t>—</t>
        </is>
      </c>
      <c r="J15" s="70" t="inlineStr">
        <is>
          <t>Per sheet</t>
        </is>
      </c>
    </row>
    <row r="17" ht="15" customHeight="1" s="66">
      <c r="A17" s="124" t="inlineStr">
        <is>
          <t xml:space="preserve">  SECTION C — OT / PROCEDURE CHARGES</t>
        </is>
      </c>
    </row>
    <row r="18" ht="15" customHeight="1" s="66">
      <c r="A18" s="70" t="n">
        <v>1</v>
      </c>
      <c r="B18" s="70" t="inlineStr">
        <is>
          <t>OT / Procedure Charges</t>
        </is>
      </c>
      <c r="C18" s="70" t="inlineStr">
        <is>
          <t>Per procedure</t>
        </is>
      </c>
      <c r="D18" s="70" t="inlineStr">
        <is>
          <t>—</t>
        </is>
      </c>
      <c r="E18" s="70" t="n">
        <v>1</v>
      </c>
      <c r="F18" s="71" t="n">
        <v>1500</v>
      </c>
      <c r="G18" s="71">
        <f>E18*F18</f>
        <v/>
      </c>
      <c r="H18" s="70" t="inlineStr">
        <is>
          <t>—</t>
        </is>
      </c>
      <c r="I18" s="70" t="inlineStr">
        <is>
          <t>—</t>
        </is>
      </c>
      <c r="J18" s="70" t="inlineStr">
        <is>
          <t>Per sheet</t>
        </is>
      </c>
    </row>
    <row r="20" ht="15" customHeight="1" s="66">
      <c r="A20" s="72" t="inlineStr">
        <is>
          <t>GRAND TOTAL PATIENT BILL</t>
        </is>
      </c>
      <c r="G20" s="73">
        <f>G12+SUM(G15:G15)+SUM(G18:G18)</f>
        <v/>
      </c>
      <c r="H20" s="73">
        <f>I12</f>
        <v/>
      </c>
      <c r="I20" s="73">
        <f>G20-H20</f>
        <v/>
      </c>
      <c r="J20" s="72" t="inlineStr">
        <is>
          <t>Bill | Cost | Margin</t>
        </is>
      </c>
    </row>
  </sheetData>
  <mergeCells count="6">
    <mergeCell ref="A1:J1"/>
    <mergeCell ref="A14:J14"/>
    <mergeCell ref="A17:J17"/>
    <mergeCell ref="A3:J3"/>
    <mergeCell ref="A12:F12"/>
    <mergeCell ref="A20:F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0"/>
  </sheetPr>
  <dimension ref="A1:J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Seema Mondal</t>
        </is>
      </c>
      <c r="E2" s="123" t="inlineStr">
        <is>
          <t>Doctor: Dr. S. Gupta</t>
        </is>
      </c>
      <c r="G2" s="123" t="inlineStr">
        <is>
          <t>Date: 07/11/2026</t>
        </is>
      </c>
      <c r="I2" s="123" t="inlineStr">
        <is>
          <t>Proc: Cystoscopy — LA/Self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125" t="n">
        <v>1</v>
      </c>
      <c r="B5" s="125" t="inlineStr">
        <is>
          <t>Gauze Pieces ×10</t>
        </is>
      </c>
      <c r="C5" s="125" t="n"/>
      <c r="D5" s="125" t="inlineStr">
        <is>
          <t>No.</t>
        </is>
      </c>
      <c r="E5" s="125" t="n">
        <v>10</v>
      </c>
      <c r="F5" s="125" t="n">
        <v>14</v>
      </c>
      <c r="G5" s="125" t="n">
        <v>140</v>
      </c>
      <c r="H5" s="125" t="n">
        <v>5.46</v>
      </c>
      <c r="I5" s="125" t="n">
        <v>54.6</v>
      </c>
      <c r="J5" s="125" t="inlineStr">
        <is>
          <t>Filled from stock/rate card</t>
        </is>
      </c>
    </row>
    <row r="6" ht="15" customHeight="1" s="66">
      <c r="A6" s="70" t="n">
        <v>2</v>
      </c>
      <c r="B6" s="70" t="inlineStr">
        <is>
          <t>Mop</t>
        </is>
      </c>
      <c r="C6" s="70" t="n"/>
      <c r="D6" s="70" t="inlineStr">
        <is>
          <t>No.</t>
        </is>
      </c>
      <c r="E6" s="70" t="n">
        <v>1</v>
      </c>
      <c r="F6" s="71" t="n">
        <v>95</v>
      </c>
      <c r="G6" s="71">
        <f>E6*F6</f>
        <v/>
      </c>
      <c r="H6" s="71" t="n">
        <v>40.15</v>
      </c>
      <c r="I6" s="71">
        <f>E6*H6</f>
        <v/>
      </c>
      <c r="J6" s="70" t="inlineStr">
        <is>
          <t>B.P. 349</t>
        </is>
      </c>
    </row>
    <row r="7" ht="15" customHeight="1" s="66">
      <c r="A7" s="125" t="n">
        <v>3</v>
      </c>
      <c r="B7" s="125" t="inlineStr">
        <is>
          <t>Needle 2cc</t>
        </is>
      </c>
      <c r="C7" s="125" t="n"/>
      <c r="D7" s="125" t="inlineStr">
        <is>
          <t>No.</t>
        </is>
      </c>
      <c r="E7" s="125" t="n">
        <v>1</v>
      </c>
      <c r="F7" s="125" t="n">
        <v>6.04</v>
      </c>
      <c r="G7" s="125" t="n">
        <v>6.04</v>
      </c>
      <c r="H7" s="125" t="n">
        <v>1.9</v>
      </c>
      <c r="I7" s="125" t="n">
        <v>1.9</v>
      </c>
      <c r="J7" s="125" t="inlineStr">
        <is>
          <t>Filled from stock/rate card</t>
        </is>
      </c>
    </row>
    <row r="8" ht="15" customHeight="1" s="66">
      <c r="A8" s="125" t="n">
        <v>4</v>
      </c>
      <c r="B8" s="125" t="inlineStr">
        <is>
          <t>Jonac 100mg</t>
        </is>
      </c>
      <c r="C8" s="125" t="n"/>
      <c r="D8" s="125" t="inlineStr">
        <is>
          <t>No.</t>
        </is>
      </c>
      <c r="E8" s="125" t="n">
        <v>1</v>
      </c>
      <c r="F8" s="125" t="n">
        <v>40</v>
      </c>
      <c r="G8" s="125" t="n">
        <v>40</v>
      </c>
      <c r="H8" s="125" t="inlineStr">
        <is>
          <t>⚠</t>
        </is>
      </c>
      <c r="I8" s="125" t="inlineStr">
        <is>
          <t>⚠</t>
        </is>
      </c>
      <c r="J8" s="125" t="inlineStr">
        <is>
          <t>MRP filled; cost ⚠</t>
        </is>
      </c>
    </row>
    <row r="9" ht="15" customHeight="1" s="66">
      <c r="A9" s="70" t="n">
        <v>5</v>
      </c>
      <c r="B9" s="70" t="inlineStr">
        <is>
          <t>NS 1000ml</t>
        </is>
      </c>
      <c r="C9" s="70" t="n"/>
      <c r="D9" s="70" t="inlineStr">
        <is>
          <t>No.</t>
        </is>
      </c>
      <c r="E9" s="70" t="n">
        <v>1</v>
      </c>
      <c r="F9" s="71" t="n">
        <v>61.17</v>
      </c>
      <c r="G9" s="71">
        <f>E9*F9</f>
        <v/>
      </c>
      <c r="H9" s="71" t="n">
        <v>30.48</v>
      </c>
      <c r="I9" s="71">
        <f>E9*H9</f>
        <v/>
      </c>
      <c r="J9" s="70" t="inlineStr">
        <is>
          <t>S.S.B. S000645</t>
        </is>
      </c>
    </row>
    <row r="10" ht="15" customHeight="1" s="66">
      <c r="A10" s="70" t="n">
        <v>6</v>
      </c>
      <c r="B10" s="70" t="inlineStr">
        <is>
          <t>Betadine Lotion 10% 50 ml</t>
        </is>
      </c>
      <c r="C10" s="70" t="n"/>
      <c r="D10" s="70" t="inlineStr">
        <is>
          <t>No.</t>
        </is>
      </c>
      <c r="E10" s="70" t="n">
        <v>1</v>
      </c>
      <c r="F10" s="71" t="n">
        <v>151.33</v>
      </c>
      <c r="G10" s="71">
        <f>E10*F10</f>
        <v/>
      </c>
      <c r="H10" s="71" t="n">
        <v>85.70999999999999</v>
      </c>
      <c r="I10" s="71">
        <f>E10*H10</f>
        <v/>
      </c>
      <c r="J10" s="70" t="inlineStr">
        <is>
          <t>S.S.B. S000645</t>
        </is>
      </c>
    </row>
    <row r="11" ht="15" customHeight="1" s="66">
      <c r="A11" s="126" t="inlineStr">
        <is>
          <t xml:space="preserve">  Subtotal — Consumables / Medicines</t>
        </is>
      </c>
      <c r="G11" s="127">
        <f>SUM(G5:G10)</f>
        <v/>
      </c>
      <c r="H11" s="128" t="n"/>
      <c r="I11" s="127">
        <f>SUM(I5:I10)</f>
        <v/>
      </c>
      <c r="J11" s="128" t="n"/>
    </row>
    <row r="13" ht="15" customHeight="1" s="66">
      <c r="A13" s="124" t="inlineStr">
        <is>
          <t xml:space="preserve">  SECTION B — ROOM / BED CHARGES</t>
        </is>
      </c>
    </row>
    <row r="14" ht="15" customHeight="1" s="66">
      <c r="A14" s="70" t="n">
        <v>1</v>
      </c>
      <c r="B14" s="70" t="inlineStr">
        <is>
          <t>Bed / Room Charges</t>
        </is>
      </c>
      <c r="C14" s="70" t="inlineStr">
        <is>
          <t>Ward</t>
        </is>
      </c>
      <c r="D14" s="70" t="inlineStr">
        <is>
          <t>Day</t>
        </is>
      </c>
      <c r="E14" s="70" t="n">
        <v>1</v>
      </c>
      <c r="F14" s="71" t="n">
        <v>1000</v>
      </c>
      <c r="G14" s="71">
        <f>E14*F14</f>
        <v/>
      </c>
      <c r="H14" s="70" t="inlineStr">
        <is>
          <t>—</t>
        </is>
      </c>
      <c r="I14" s="70" t="inlineStr">
        <is>
          <t>—</t>
        </is>
      </c>
      <c r="J14" s="70" t="inlineStr">
        <is>
          <t>Per sheet</t>
        </is>
      </c>
    </row>
    <row r="16" ht="15" customHeight="1" s="66">
      <c r="A16" s="124" t="inlineStr">
        <is>
          <t xml:space="preserve">  SECTION C — OT / PROCEDURE CHARGES</t>
        </is>
      </c>
    </row>
    <row r="17" ht="15" customHeight="1" s="66">
      <c r="A17" s="70" t="n">
        <v>1</v>
      </c>
      <c r="B17" s="70" t="inlineStr">
        <is>
          <t>OT / Procedure Charges</t>
        </is>
      </c>
      <c r="C17" s="70" t="inlineStr">
        <is>
          <t>Per procedure</t>
        </is>
      </c>
      <c r="D17" s="70" t="inlineStr">
        <is>
          <t>—</t>
        </is>
      </c>
      <c r="E17" s="70" t="n">
        <v>1</v>
      </c>
      <c r="F17" s="71" t="n">
        <v>1500</v>
      </c>
      <c r="G17" s="71">
        <f>E17*F17</f>
        <v/>
      </c>
      <c r="H17" s="70" t="inlineStr">
        <is>
          <t>—</t>
        </is>
      </c>
      <c r="I17" s="70" t="inlineStr">
        <is>
          <t>—</t>
        </is>
      </c>
      <c r="J17" s="70" t="inlineStr">
        <is>
          <t>Per sheet</t>
        </is>
      </c>
    </row>
    <row r="19" ht="15" customHeight="1" s="66">
      <c r="A19" s="72" t="inlineStr">
        <is>
          <t>GRAND TOTAL PATIENT BILL</t>
        </is>
      </c>
      <c r="G19" s="73">
        <f>G11+SUM(G14:G14)+SUM(G17:G17)</f>
        <v/>
      </c>
      <c r="H19" s="73">
        <f>I11</f>
        <v/>
      </c>
      <c r="I19" s="73">
        <f>G19-H19</f>
        <v/>
      </c>
      <c r="J19" s="72" t="inlineStr">
        <is>
          <t>Bill | Cost | Margin</t>
        </is>
      </c>
    </row>
  </sheetData>
  <mergeCells count="6">
    <mergeCell ref="A1:J1"/>
    <mergeCell ref="A11:F11"/>
    <mergeCell ref="A19:F19"/>
    <mergeCell ref="A3:J3"/>
    <mergeCell ref="A16:J16"/>
    <mergeCell ref="A13:J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Ripu Sundar Sarkar</t>
        </is>
      </c>
      <c r="E2" s="123" t="inlineStr">
        <is>
          <t>Doctor: Dr. S. Gupta</t>
        </is>
      </c>
      <c r="G2" s="123" t="inlineStr">
        <is>
          <t>Date: 06/09/2026</t>
        </is>
      </c>
      <c r="I2" s="123" t="inlineStr">
        <is>
          <t>Proc: Cystoscopy — LA/Self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125" t="n">
        <v>1</v>
      </c>
      <c r="B5" s="125" t="inlineStr">
        <is>
          <t>Gauze Pieces ×10</t>
        </is>
      </c>
      <c r="C5" s="125" t="n"/>
      <c r="D5" s="125" t="inlineStr">
        <is>
          <t>No.</t>
        </is>
      </c>
      <c r="E5" s="125" t="n">
        <v>10</v>
      </c>
      <c r="F5" s="125" t="n">
        <v>14</v>
      </c>
      <c r="G5" s="125" t="n">
        <v>140</v>
      </c>
      <c r="H5" s="125" t="n">
        <v>5.46</v>
      </c>
      <c r="I5" s="125" t="n">
        <v>54.6</v>
      </c>
      <c r="J5" s="125" t="inlineStr">
        <is>
          <t>Filled from stock/rate card</t>
        </is>
      </c>
    </row>
    <row r="6" ht="15" customHeight="1" s="66">
      <c r="A6" s="125" t="n">
        <v>2</v>
      </c>
      <c r="B6" s="125" t="inlineStr">
        <is>
          <t>Injection Tramadol</t>
        </is>
      </c>
      <c r="C6" s="125" t="n"/>
      <c r="D6" s="125" t="inlineStr">
        <is>
          <t>No.</t>
        </is>
      </c>
      <c r="E6" s="125" t="n">
        <v>1</v>
      </c>
      <c r="F6" s="125" t="n">
        <v>12.56</v>
      </c>
      <c r="G6" s="125" t="n">
        <v>12.56</v>
      </c>
      <c r="H6" s="125" t="n">
        <v>4.76</v>
      </c>
      <c r="I6" s="125" t="n">
        <v>4.76</v>
      </c>
      <c r="J6" s="125" t="inlineStr">
        <is>
          <t>Filled from stock/rate card</t>
        </is>
      </c>
    </row>
    <row r="7" ht="15" customHeight="1" s="66">
      <c r="A7" s="70" t="n">
        <v>3</v>
      </c>
      <c r="B7" s="70" t="inlineStr">
        <is>
          <t>Mop</t>
        </is>
      </c>
      <c r="C7" s="70" t="n"/>
      <c r="D7" s="70" t="inlineStr">
        <is>
          <t>No.</t>
        </is>
      </c>
      <c r="E7" s="70" t="n">
        <v>1</v>
      </c>
      <c r="F7" s="71" t="n">
        <v>95</v>
      </c>
      <c r="G7" s="71">
        <f>E7*F7</f>
        <v/>
      </c>
      <c r="H7" s="71" t="n">
        <v>40.15</v>
      </c>
      <c r="I7" s="71">
        <f>E7*H7</f>
        <v/>
      </c>
      <c r="J7" s="70" t="inlineStr">
        <is>
          <t>B.P. 349</t>
        </is>
      </c>
    </row>
    <row r="8" ht="15" customHeight="1" s="66">
      <c r="A8" s="70" t="n">
        <v>4</v>
      </c>
      <c r="B8" s="70" t="inlineStr">
        <is>
          <t>Betadine Lotion</t>
        </is>
      </c>
      <c r="C8" s="70" t="n"/>
      <c r="D8" s="70" t="inlineStr">
        <is>
          <t>No.</t>
        </is>
      </c>
      <c r="E8" s="70" t="n">
        <v>1</v>
      </c>
      <c r="F8" s="71" t="n">
        <v>151.33</v>
      </c>
      <c r="G8" s="71">
        <f>E8*F8</f>
        <v/>
      </c>
      <c r="H8" s="71" t="n">
        <v>85.70999999999999</v>
      </c>
      <c r="I8" s="71">
        <f>E8*H8</f>
        <v/>
      </c>
      <c r="J8" s="70" t="inlineStr">
        <is>
          <t>S.S.B. S000645</t>
        </is>
      </c>
    </row>
    <row r="9" ht="15" customHeight="1" s="66">
      <c r="A9" s="70" t="n">
        <v>5</v>
      </c>
      <c r="B9" s="70" t="inlineStr">
        <is>
          <t>Gloves 7 pcs</t>
        </is>
      </c>
      <c r="C9" s="70" t="n"/>
      <c r="D9" s="70" t="inlineStr">
        <is>
          <t>No.</t>
        </is>
      </c>
      <c r="E9" s="70" t="n">
        <v>2</v>
      </c>
      <c r="F9" s="71" t="n">
        <v>91</v>
      </c>
      <c r="G9" s="71">
        <f>E9*F9</f>
        <v/>
      </c>
      <c r="H9" s="71" t="n">
        <v>19.06</v>
      </c>
      <c r="I9" s="71">
        <f>E9*H9</f>
        <v/>
      </c>
      <c r="J9" s="70" t="inlineStr">
        <is>
          <t>Vivekananda F/747</t>
        </is>
      </c>
    </row>
    <row r="10" ht="15" customHeight="1" s="66">
      <c r="A10" s="70" t="n">
        <v>6</v>
      </c>
      <c r="B10" s="70" t="inlineStr">
        <is>
          <t>NS 500ML</t>
        </is>
      </c>
      <c r="C10" s="70" t="n"/>
      <c r="D10" s="70" t="inlineStr">
        <is>
          <t>No.</t>
        </is>
      </c>
      <c r="E10" s="70" t="n">
        <v>2</v>
      </c>
      <c r="F10" s="71" t="n">
        <v>36.6</v>
      </c>
      <c r="G10" s="71">
        <f>E10*F10</f>
        <v/>
      </c>
      <c r="H10" s="71" t="n">
        <v>17.62</v>
      </c>
      <c r="I10" s="71">
        <f>E10*H10</f>
        <v/>
      </c>
      <c r="J10" s="70" t="inlineStr">
        <is>
          <t>S.S.B. S000645</t>
        </is>
      </c>
    </row>
    <row r="11" ht="15" customHeight="1" s="66">
      <c r="A11" s="70" t="n">
        <v>7</v>
      </c>
      <c r="B11" s="70" t="inlineStr">
        <is>
          <t>Betadine Lotion 10% 50 ml</t>
        </is>
      </c>
      <c r="C11" s="70" t="n"/>
      <c r="D11" s="70" t="inlineStr">
        <is>
          <t>No.</t>
        </is>
      </c>
      <c r="E11" s="70" t="n">
        <v>1</v>
      </c>
      <c r="F11" s="71" t="n">
        <v>151.33</v>
      </c>
      <c r="G11" s="71">
        <f>E11*F11</f>
        <v/>
      </c>
      <c r="H11" s="71" t="n">
        <v>85.70999999999999</v>
      </c>
      <c r="I11" s="71">
        <f>E11*H11</f>
        <v/>
      </c>
      <c r="J11" s="70" t="inlineStr">
        <is>
          <t>S.S.B. S000645</t>
        </is>
      </c>
    </row>
    <row r="12" ht="15" customHeight="1" s="66">
      <c r="A12" s="126" t="inlineStr">
        <is>
          <t xml:space="preserve">  Subtotal — Consumables / Medicines</t>
        </is>
      </c>
      <c r="G12" s="127">
        <f>SUM(G5:G11)</f>
        <v/>
      </c>
      <c r="H12" s="128" t="n"/>
      <c r="I12" s="127">
        <f>SUM(I5:I11)</f>
        <v/>
      </c>
      <c r="J12" s="128" t="n"/>
    </row>
    <row r="14" ht="15" customHeight="1" s="66">
      <c r="A14" s="124" t="inlineStr">
        <is>
          <t xml:space="preserve">  SECTION B — ROOM / BED CHARGES</t>
        </is>
      </c>
    </row>
    <row r="15" ht="15" customHeight="1" s="66">
      <c r="A15" s="70" t="n">
        <v>1</v>
      </c>
      <c r="B15" s="70" t="inlineStr">
        <is>
          <t>Bed / Room Charges</t>
        </is>
      </c>
      <c r="C15" s="70" t="inlineStr">
        <is>
          <t>Ward</t>
        </is>
      </c>
      <c r="D15" s="70" t="inlineStr">
        <is>
          <t>Day</t>
        </is>
      </c>
      <c r="E15" s="70" t="n">
        <v>1</v>
      </c>
      <c r="F15" s="71" t="n">
        <v>1000</v>
      </c>
      <c r="G15" s="71">
        <f>E15*F15</f>
        <v/>
      </c>
      <c r="H15" s="70" t="inlineStr">
        <is>
          <t>—</t>
        </is>
      </c>
      <c r="I15" s="70" t="inlineStr">
        <is>
          <t>—</t>
        </is>
      </c>
      <c r="J15" s="70" t="inlineStr">
        <is>
          <t>Per sheet</t>
        </is>
      </c>
    </row>
    <row r="17" ht="15" customHeight="1" s="66">
      <c r="A17" s="124" t="inlineStr">
        <is>
          <t xml:space="preserve">  SECTION C — OT / PROCEDURE CHARGES</t>
        </is>
      </c>
    </row>
    <row r="18" ht="15" customHeight="1" s="66">
      <c r="A18" s="70" t="n">
        <v>1</v>
      </c>
      <c r="B18" s="70" t="inlineStr">
        <is>
          <t>OT / Procedure Charges</t>
        </is>
      </c>
      <c r="C18" s="70" t="inlineStr">
        <is>
          <t>Per procedure</t>
        </is>
      </c>
      <c r="D18" s="70" t="inlineStr">
        <is>
          <t>—</t>
        </is>
      </c>
      <c r="E18" s="70" t="n">
        <v>1</v>
      </c>
      <c r="F18" s="71" t="n">
        <v>1500</v>
      </c>
      <c r="G18" s="71">
        <f>E18*F18</f>
        <v/>
      </c>
      <c r="H18" s="70" t="inlineStr">
        <is>
          <t>—</t>
        </is>
      </c>
      <c r="I18" s="70" t="inlineStr">
        <is>
          <t>—</t>
        </is>
      </c>
      <c r="J18" s="70" t="inlineStr">
        <is>
          <t>Per sheet</t>
        </is>
      </c>
    </row>
    <row r="20" ht="15" customHeight="1" s="66">
      <c r="A20" s="72" t="inlineStr">
        <is>
          <t>GRAND TOTAL PATIENT BILL</t>
        </is>
      </c>
      <c r="G20" s="73">
        <f>G12+SUM(G15:G15)+SUM(G18:G18)</f>
        <v/>
      </c>
      <c r="H20" s="73">
        <f>I12</f>
        <v/>
      </c>
      <c r="I20" s="73">
        <f>G20-H20</f>
        <v/>
      </c>
      <c r="J20" s="72" t="inlineStr">
        <is>
          <t>Bill | Cost | Margin</t>
        </is>
      </c>
    </row>
  </sheetData>
  <mergeCells count="6">
    <mergeCell ref="A1:J1"/>
    <mergeCell ref="A14:J14"/>
    <mergeCell ref="A17:J17"/>
    <mergeCell ref="A3:J3"/>
    <mergeCell ref="A12:F12"/>
    <mergeCell ref="A20:F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J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Prabir Kumar Paul</t>
        </is>
      </c>
      <c r="E2" s="123" t="inlineStr">
        <is>
          <t>Doctor: Dr. S. Gupta</t>
        </is>
      </c>
      <c r="G2" s="123" t="inlineStr">
        <is>
          <t>Date: 02/06/2026</t>
        </is>
      </c>
      <c r="I2" s="123" t="inlineStr">
        <is>
          <t>Proc: Excision Biopsy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70" t="n">
        <v>1</v>
      </c>
      <c r="B5" s="70" t="inlineStr">
        <is>
          <t>Inj. Xone 1g (Ceftriaxone)</t>
        </is>
      </c>
      <c r="C5" s="70" t="n"/>
      <c r="D5" s="70" t="inlineStr">
        <is>
          <t>No.</t>
        </is>
      </c>
      <c r="E5" s="70" t="n">
        <v>1</v>
      </c>
      <c r="F5" s="71" t="n">
        <v>66.64</v>
      </c>
      <c r="G5" s="71">
        <f>E5*F5</f>
        <v/>
      </c>
      <c r="H5" s="71" t="n">
        <v>25.71</v>
      </c>
      <c r="I5" s="71">
        <f>E5*H5</f>
        <v/>
      </c>
      <c r="J5" s="70" t="inlineStr">
        <is>
          <t>S.S.B. S000135</t>
        </is>
      </c>
    </row>
    <row r="6" ht="15" customHeight="1" s="66">
      <c r="A6" s="70" t="n">
        <v>2</v>
      </c>
      <c r="B6" s="70" t="inlineStr">
        <is>
          <t>IV Cannula 18G</t>
        </is>
      </c>
      <c r="C6" s="70" t="n"/>
      <c r="D6" s="70" t="inlineStr">
        <is>
          <t>No.</t>
        </is>
      </c>
      <c r="E6" s="70" t="n">
        <v>1</v>
      </c>
      <c r="F6" s="71" t="n">
        <v>321</v>
      </c>
      <c r="G6" s="71">
        <f>E6*F6</f>
        <v/>
      </c>
      <c r="H6" s="71" t="n">
        <v>55</v>
      </c>
      <c r="I6" s="71">
        <f>E6*H6</f>
        <v/>
      </c>
      <c r="J6" s="70" t="inlineStr">
        <is>
          <t>Vivekananda F/684</t>
        </is>
      </c>
    </row>
    <row r="7" ht="15" customHeight="1" s="66">
      <c r="A7" s="70" t="n">
        <v>3</v>
      </c>
      <c r="B7" s="70" t="inlineStr">
        <is>
          <t>IV Cannula 20G</t>
        </is>
      </c>
      <c r="C7" s="70" t="n"/>
      <c r="D7" s="70" t="inlineStr">
        <is>
          <t>No.</t>
        </is>
      </c>
      <c r="E7" s="70" t="n">
        <v>1</v>
      </c>
      <c r="F7" s="71" t="n">
        <v>198</v>
      </c>
      <c r="G7" s="71">
        <f>E7*F7</f>
        <v/>
      </c>
      <c r="H7" s="71" t="n">
        <v>7.14</v>
      </c>
      <c r="I7" s="71">
        <f>E7*H7</f>
        <v/>
      </c>
      <c r="J7" s="70" t="inlineStr">
        <is>
          <t>S.S.B. S000399</t>
        </is>
      </c>
    </row>
    <row r="8" ht="15" customHeight="1" s="66">
      <c r="A8" s="70" t="n">
        <v>4</v>
      </c>
      <c r="B8" s="70" t="inlineStr">
        <is>
          <t>Easyfix</t>
        </is>
      </c>
      <c r="C8" s="70" t="n"/>
      <c r="D8" s="70" t="inlineStr">
        <is>
          <t>No.</t>
        </is>
      </c>
      <c r="E8" s="70" t="n">
        <v>1</v>
      </c>
      <c r="F8" s="71" t="n">
        <v>80.59999999999999</v>
      </c>
      <c r="G8" s="71">
        <f>E8*F8</f>
        <v/>
      </c>
      <c r="H8" s="71" t="n">
        <v>42.86</v>
      </c>
      <c r="I8" s="71">
        <f>E8*H8</f>
        <v/>
      </c>
      <c r="J8" s="70" t="inlineStr">
        <is>
          <t>S.S.B. S000293</t>
        </is>
      </c>
    </row>
    <row r="9" ht="15" customHeight="1" s="66">
      <c r="A9" s="70" t="n">
        <v>5</v>
      </c>
      <c r="B9" s="70" t="inlineStr">
        <is>
          <t>D. Water 10ml (Sterile)</t>
        </is>
      </c>
      <c r="C9" s="70" t="n"/>
      <c r="D9" s="70" t="inlineStr">
        <is>
          <t>No.</t>
        </is>
      </c>
      <c r="E9" s="70" t="n">
        <v>3</v>
      </c>
      <c r="F9" s="71" t="n">
        <v>3.24</v>
      </c>
      <c r="G9" s="71">
        <f>E9*F9</f>
        <v/>
      </c>
      <c r="H9" s="71" t="n">
        <v>2.51</v>
      </c>
      <c r="I9" s="71">
        <f>E9*H9</f>
        <v/>
      </c>
      <c r="J9" s="70" t="inlineStr">
        <is>
          <t>Vivekananda F/747</t>
        </is>
      </c>
    </row>
    <row r="10" ht="15" customHeight="1" s="66">
      <c r="A10" s="70" t="n">
        <v>6</v>
      </c>
      <c r="B10" s="70" t="inlineStr">
        <is>
          <t>Syringe 10ml</t>
        </is>
      </c>
      <c r="C10" s="70" t="n"/>
      <c r="D10" s="70" t="inlineStr">
        <is>
          <t>No.</t>
        </is>
      </c>
      <c r="E10" s="70" t="n">
        <v>2</v>
      </c>
      <c r="F10" s="71" t="n">
        <v>13.3</v>
      </c>
      <c r="G10" s="71">
        <f>E10*F10</f>
        <v/>
      </c>
      <c r="H10" s="71" t="n">
        <v>5.3</v>
      </c>
      <c r="I10" s="71">
        <f>E10*H10</f>
        <v/>
      </c>
      <c r="J10" s="70" t="inlineStr">
        <is>
          <t>M.R. MR000753</t>
        </is>
      </c>
    </row>
    <row r="11" ht="15" customHeight="1" s="66">
      <c r="A11" s="70" t="n">
        <v>7</v>
      </c>
      <c r="B11" s="70" t="inlineStr">
        <is>
          <t>Syringe 5ml</t>
        </is>
      </c>
      <c r="C11" s="70" t="n"/>
      <c r="D11" s="70" t="inlineStr">
        <is>
          <t>No.</t>
        </is>
      </c>
      <c r="E11" s="70" t="n">
        <v>1</v>
      </c>
      <c r="F11" s="71" t="n">
        <v>10.23</v>
      </c>
      <c r="G11" s="71">
        <f>E11*F11</f>
        <v/>
      </c>
      <c r="H11" s="71" t="n">
        <v>3.5</v>
      </c>
      <c r="I11" s="71">
        <f>E11*H11</f>
        <v/>
      </c>
      <c r="J11" s="70" t="inlineStr">
        <is>
          <t>M.R. MR000539</t>
        </is>
      </c>
    </row>
    <row r="12" ht="15" customHeight="1" s="66">
      <c r="A12" s="129" t="n">
        <v>8</v>
      </c>
      <c r="B12" s="129" t="inlineStr">
        <is>
          <t>Inj. Ondem (Ondansetron)</t>
        </is>
      </c>
      <c r="C12" s="129" t="n"/>
      <c r="D12" s="129" t="inlineStr">
        <is>
          <t>No.</t>
        </is>
      </c>
      <c r="E12" s="129" t="n">
        <v>1</v>
      </c>
      <c r="F12" s="130" t="n">
        <v>146.25</v>
      </c>
      <c r="G12" s="130">
        <f>E12*F12</f>
        <v/>
      </c>
      <c r="H12" s="130" t="n">
        <v>109.52</v>
      </c>
      <c r="I12" s="130">
        <f>E12*H12</f>
        <v/>
      </c>
      <c r="J12" s="129" t="inlineStr">
        <is>
          <t>⚠ MRP OUTLIER — verify batch; S.S.B. S000670</t>
        </is>
      </c>
    </row>
    <row r="13" ht="15" customHeight="1" s="66">
      <c r="A13" s="70" t="n">
        <v>9</v>
      </c>
      <c r="B13" s="70" t="inlineStr">
        <is>
          <t>Needles 26G</t>
        </is>
      </c>
      <c r="C13" s="70" t="n"/>
      <c r="D13" s="70" t="inlineStr">
        <is>
          <t>No.</t>
        </is>
      </c>
      <c r="E13" s="70" t="n">
        <v>2</v>
      </c>
      <c r="F13" s="71" t="n">
        <v>243.75</v>
      </c>
      <c r="G13" s="71">
        <f>E13*F13</f>
        <v/>
      </c>
      <c r="H13" s="71" t="n">
        <v>80.95</v>
      </c>
      <c r="I13" s="71">
        <f>E13*H13</f>
        <v/>
      </c>
      <c r="J13" s="70" t="inlineStr">
        <is>
          <t>S.S.B. S000092</t>
        </is>
      </c>
    </row>
    <row r="14" ht="15" customHeight="1" s="66">
      <c r="A14" s="125" t="n">
        <v>10</v>
      </c>
      <c r="B14" s="125" t="inlineStr">
        <is>
          <t>Needle 10cc</t>
        </is>
      </c>
      <c r="C14" s="125" t="n"/>
      <c r="D14" s="125" t="inlineStr">
        <is>
          <t>No.</t>
        </is>
      </c>
      <c r="E14" s="125" t="n">
        <v>2</v>
      </c>
      <c r="F14" s="125" t="n">
        <v>20</v>
      </c>
      <c r="G14" s="125" t="n">
        <v>40</v>
      </c>
      <c r="H14" s="125" t="n">
        <v>3.76</v>
      </c>
      <c r="I14" s="125" t="n">
        <v>7.52</v>
      </c>
      <c r="J14" s="125" t="inlineStr">
        <is>
          <t>Filled from stock/rate card</t>
        </is>
      </c>
    </row>
    <row r="15" ht="15" customHeight="1" s="66">
      <c r="A15" s="70" t="n">
        <v>11</v>
      </c>
      <c r="B15" s="70" t="inlineStr">
        <is>
          <t>Distilled Water 10ml</t>
        </is>
      </c>
      <c r="C15" s="70" t="n"/>
      <c r="D15" s="70" t="inlineStr">
        <is>
          <t>No.</t>
        </is>
      </c>
      <c r="E15" s="70" t="n">
        <v>3</v>
      </c>
      <c r="F15" s="71" t="n">
        <v>3.24</v>
      </c>
      <c r="G15" s="71">
        <f>E15*F15</f>
        <v/>
      </c>
      <c r="H15" s="71" t="n">
        <v>2.51</v>
      </c>
      <c r="I15" s="71">
        <f>E15*H15</f>
        <v/>
      </c>
      <c r="J15" s="70" t="inlineStr">
        <is>
          <t>Vivekananda F/747</t>
        </is>
      </c>
    </row>
    <row r="16" ht="15" customHeight="1" s="66">
      <c r="A16" s="70" t="n">
        <v>12</v>
      </c>
      <c r="B16" s="70" t="inlineStr">
        <is>
          <t>Lox 2% 30 ml</t>
        </is>
      </c>
      <c r="C16" s="70" t="n"/>
      <c r="D16" s="70" t="inlineStr">
        <is>
          <t>No.</t>
        </is>
      </c>
      <c r="E16" s="70" t="n">
        <v>1</v>
      </c>
      <c r="F16" s="71" t="n">
        <v>34.58</v>
      </c>
      <c r="G16" s="71">
        <f>E16*F16</f>
        <v/>
      </c>
      <c r="H16" s="71" t="n">
        <v>27</v>
      </c>
      <c r="I16" s="71">
        <f>E16*H16</f>
        <v/>
      </c>
      <c r="J16" s="70" t="inlineStr">
        <is>
          <t>Vivekananda F/748</t>
        </is>
      </c>
    </row>
    <row r="17" ht="15" customHeight="1" s="66">
      <c r="A17" s="70" t="n">
        <v>13</v>
      </c>
      <c r="B17" s="70" t="inlineStr">
        <is>
          <t>Betadine Lotion 100ml</t>
        </is>
      </c>
      <c r="C17" s="70" t="n"/>
      <c r="D17" s="70" t="inlineStr">
        <is>
          <t>No.</t>
        </is>
      </c>
      <c r="E17" s="70" t="n">
        <v>1</v>
      </c>
      <c r="F17" s="71" t="n">
        <v>151.33</v>
      </c>
      <c r="G17" s="71">
        <f>E17*F17</f>
        <v/>
      </c>
      <c r="H17" s="71" t="n">
        <v>85.70999999999999</v>
      </c>
      <c r="I17" s="71">
        <f>E17*H17</f>
        <v/>
      </c>
      <c r="J17" s="70" t="inlineStr">
        <is>
          <t>S.S.B. S000645</t>
        </is>
      </c>
    </row>
    <row r="18" ht="15" customHeight="1" s="66">
      <c r="A18" s="70" t="n">
        <v>14</v>
      </c>
      <c r="B18" s="70" t="inlineStr">
        <is>
          <t>Plain Sheet (OT)</t>
        </is>
      </c>
      <c r="C18" s="70" t="n"/>
      <c r="D18" s="70" t="inlineStr">
        <is>
          <t>No.</t>
        </is>
      </c>
      <c r="E18" s="70" t="n">
        <v>1</v>
      </c>
      <c r="F18" s="71" t="n">
        <v>119.5</v>
      </c>
      <c r="G18" s="71">
        <f>E18*F18</f>
        <v/>
      </c>
      <c r="H18" s="71" t="n">
        <v>57.96</v>
      </c>
      <c r="I18" s="71">
        <f>E18*H18</f>
        <v/>
      </c>
      <c r="J18" s="70" t="inlineStr">
        <is>
          <t>M.R. MR000352</t>
        </is>
      </c>
    </row>
    <row r="19" ht="15" customHeight="1" s="66">
      <c r="A19" s="70" t="n">
        <v>15</v>
      </c>
      <c r="B19" s="70" t="inlineStr">
        <is>
          <t>Mop</t>
        </is>
      </c>
      <c r="C19" s="70" t="n"/>
      <c r="D19" s="70" t="inlineStr">
        <is>
          <t>No.</t>
        </is>
      </c>
      <c r="E19" s="70" t="n">
        <v>2</v>
      </c>
      <c r="F19" s="71" t="n">
        <v>95</v>
      </c>
      <c r="G19" s="71">
        <f>E19*F19</f>
        <v/>
      </c>
      <c r="H19" s="71" t="n">
        <v>40.15</v>
      </c>
      <c r="I19" s="71">
        <f>E19*H19</f>
        <v/>
      </c>
      <c r="J19" s="70" t="inlineStr">
        <is>
          <t>B.P. 349</t>
        </is>
      </c>
    </row>
    <row r="20" ht="15" customHeight="1" s="66">
      <c r="A20" s="70" t="n">
        <v>16</v>
      </c>
      <c r="B20" s="70" t="inlineStr">
        <is>
          <t>Gauze</t>
        </is>
      </c>
      <c r="C20" s="70" t="n"/>
      <c r="D20" s="70" t="inlineStr">
        <is>
          <t>No.</t>
        </is>
      </c>
      <c r="E20" s="70" t="n">
        <v>10</v>
      </c>
      <c r="F20" s="71" t="n">
        <v>240</v>
      </c>
      <c r="G20" s="71">
        <f>E20*F20</f>
        <v/>
      </c>
      <c r="H20" s="71" t="n">
        <v>98</v>
      </c>
      <c r="I20" s="71">
        <f>E20*H20</f>
        <v/>
      </c>
      <c r="J20" s="70" t="inlineStr">
        <is>
          <t>B.P. 387</t>
        </is>
      </c>
    </row>
    <row r="21" ht="15" customHeight="1" s="66">
      <c r="A21" s="125" t="n">
        <v>17</v>
      </c>
      <c r="B21" s="125" t="inlineStr">
        <is>
          <t>Catgut 3-0 4237</t>
        </is>
      </c>
      <c r="C21" s="125" t="n"/>
      <c r="D21" s="125" t="inlineStr">
        <is>
          <t>No.</t>
        </is>
      </c>
      <c r="E21" s="125" t="n">
        <v>1</v>
      </c>
      <c r="F21" s="125" t="n">
        <v>216</v>
      </c>
      <c r="G21" s="125" t="n">
        <v>216</v>
      </c>
      <c r="H21" s="125" t="n">
        <v>57.14</v>
      </c>
      <c r="I21" s="125" t="n">
        <v>57.14</v>
      </c>
      <c r="J21" s="125" t="inlineStr">
        <is>
          <t>Filled from stock/rate card</t>
        </is>
      </c>
    </row>
    <row r="22" ht="15" customHeight="1" s="66">
      <c r="A22" s="70" t="n">
        <v>18</v>
      </c>
      <c r="B22" s="70" t="inlineStr">
        <is>
          <t>Gloves 7 No</t>
        </is>
      </c>
      <c r="C22" s="70" t="n"/>
      <c r="D22" s="70" t="inlineStr">
        <is>
          <t>No.</t>
        </is>
      </c>
      <c r="E22" s="70" t="n">
        <v>2</v>
      </c>
      <c r="F22" s="71" t="n">
        <v>91</v>
      </c>
      <c r="G22" s="71">
        <f>E22*F22</f>
        <v/>
      </c>
      <c r="H22" s="71" t="n">
        <v>19.06</v>
      </c>
      <c r="I22" s="71">
        <f>E22*H22</f>
        <v/>
      </c>
      <c r="J22" s="70" t="inlineStr">
        <is>
          <t>Vivekananda F/747</t>
        </is>
      </c>
    </row>
    <row r="23" ht="15" customHeight="1" s="66">
      <c r="A23" s="126" t="inlineStr">
        <is>
          <t xml:space="preserve">  Subtotal — Consumables / Medicines</t>
        </is>
      </c>
      <c r="G23" s="127">
        <f>SUM(G5:G22)</f>
        <v/>
      </c>
      <c r="H23" s="128" t="n"/>
      <c r="I23" s="127">
        <f>SUM(I5:I22)</f>
        <v/>
      </c>
      <c r="J23" s="128" t="n"/>
    </row>
    <row r="25" ht="15" customHeight="1" s="66">
      <c r="A25" s="124" t="inlineStr">
        <is>
          <t xml:space="preserve">  SECTION B — ROOM / BED CHARGES</t>
        </is>
      </c>
    </row>
    <row r="26" ht="15" customHeight="1" s="66">
      <c r="A26" s="70" t="n">
        <v>1</v>
      </c>
      <c r="B26" s="70" t="inlineStr">
        <is>
          <t>Bed / Room Charges</t>
        </is>
      </c>
      <c r="C26" s="70" t="inlineStr">
        <is>
          <t>Ward</t>
        </is>
      </c>
      <c r="D26" s="70" t="inlineStr">
        <is>
          <t>Day</t>
        </is>
      </c>
      <c r="E26" s="70" t="n">
        <v>1</v>
      </c>
      <c r="F26" s="71" t="n">
        <v>1000</v>
      </c>
      <c r="G26" s="71">
        <f>E26*F26</f>
        <v/>
      </c>
      <c r="H26" s="70" t="inlineStr">
        <is>
          <t>—</t>
        </is>
      </c>
      <c r="I26" s="70" t="inlineStr">
        <is>
          <t>—</t>
        </is>
      </c>
      <c r="J26" s="70" t="inlineStr">
        <is>
          <t>Per sheet</t>
        </is>
      </c>
    </row>
    <row r="28" ht="15" customHeight="1" s="66">
      <c r="A28" s="124" t="inlineStr">
        <is>
          <t xml:space="preserve">  SECTION C — OT / PROCEDURE CHARGES</t>
        </is>
      </c>
    </row>
    <row r="29" ht="15" customHeight="1" s="66">
      <c r="A29" s="70" t="n">
        <v>1</v>
      </c>
      <c r="B29" s="70" t="inlineStr">
        <is>
          <t>OT / Procedure Charges</t>
        </is>
      </c>
      <c r="C29" s="70" t="inlineStr">
        <is>
          <t>Per procedure</t>
        </is>
      </c>
      <c r="D29" s="70" t="inlineStr">
        <is>
          <t>—</t>
        </is>
      </c>
      <c r="E29" s="70" t="n">
        <v>1</v>
      </c>
      <c r="F29" s="71" t="n">
        <v>1500</v>
      </c>
      <c r="G29" s="71">
        <f>E29*F29</f>
        <v/>
      </c>
      <c r="H29" s="70" t="inlineStr">
        <is>
          <t>—</t>
        </is>
      </c>
      <c r="I29" s="70" t="inlineStr">
        <is>
          <t>—</t>
        </is>
      </c>
      <c r="J29" s="70" t="inlineStr">
        <is>
          <t>Per sheet</t>
        </is>
      </c>
    </row>
    <row r="31" ht="15" customHeight="1" s="66">
      <c r="A31" s="72" t="inlineStr">
        <is>
          <t>GRAND TOTAL PATIENT BILL</t>
        </is>
      </c>
      <c r="G31" s="73">
        <f>G23+SUM(G26:G26)+SUM(G29:G29)</f>
        <v/>
      </c>
      <c r="H31" s="73">
        <f>I23</f>
        <v/>
      </c>
      <c r="I31" s="73">
        <f>G31-H31</f>
        <v/>
      </c>
      <c r="J31" s="72" t="inlineStr">
        <is>
          <t>Bill | Cost | Margin</t>
        </is>
      </c>
    </row>
  </sheetData>
  <mergeCells count="6">
    <mergeCell ref="A1:J1"/>
    <mergeCell ref="A23:F23"/>
    <mergeCell ref="A3:J3"/>
    <mergeCell ref="A31:F31"/>
    <mergeCell ref="A28:J28"/>
    <mergeCell ref="A25:J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J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Sopna</t>
        </is>
      </c>
      <c r="E2" s="123" t="inlineStr">
        <is>
          <t>Doctor: Dr. S. Gupta</t>
        </is>
      </c>
      <c r="G2" s="123" t="inlineStr">
        <is>
          <t>Date: 08/06/2026</t>
        </is>
      </c>
      <c r="I2" s="123" t="inlineStr">
        <is>
          <t>Proc: PIRS Spine Surgery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70" t="n">
        <v>1</v>
      </c>
      <c r="B5" s="70" t="inlineStr">
        <is>
          <t>NS 1 Litre</t>
        </is>
      </c>
      <c r="C5" s="70" t="n"/>
      <c r="D5" s="70" t="inlineStr">
        <is>
          <t>No.</t>
        </is>
      </c>
      <c r="E5" s="70" t="n">
        <v>3</v>
      </c>
      <c r="F5" s="71" t="n">
        <v>61.17</v>
      </c>
      <c r="G5" s="71">
        <f>E5*F5</f>
        <v/>
      </c>
      <c r="H5" s="71" t="n">
        <v>30.48</v>
      </c>
      <c r="I5" s="71">
        <f>E5*H5</f>
        <v/>
      </c>
      <c r="J5" s="70" t="inlineStr">
        <is>
          <t>S.S.B. S000645</t>
        </is>
      </c>
    </row>
    <row r="6" ht="15" customHeight="1" s="66">
      <c r="A6" s="70" t="n">
        <v>2</v>
      </c>
      <c r="B6" s="70" t="inlineStr">
        <is>
          <t>NS 3 Litre</t>
        </is>
      </c>
      <c r="C6" s="70" t="n"/>
      <c r="D6" s="70" t="inlineStr">
        <is>
          <t>No.</t>
        </is>
      </c>
      <c r="E6" s="70" t="n">
        <v>1</v>
      </c>
      <c r="F6" s="71" t="n">
        <v>61.17</v>
      </c>
      <c r="G6" s="71">
        <f>E6*F6</f>
        <v/>
      </c>
      <c r="H6" s="71" t="n">
        <v>30.48</v>
      </c>
      <c r="I6" s="71">
        <f>E6*H6</f>
        <v/>
      </c>
      <c r="J6" s="70" t="inlineStr">
        <is>
          <t>S.S.B. S000645</t>
        </is>
      </c>
    </row>
    <row r="7" ht="15" customHeight="1" s="66">
      <c r="A7" s="70" t="n">
        <v>3</v>
      </c>
      <c r="B7" s="70" t="inlineStr">
        <is>
          <t>NS 500ml</t>
        </is>
      </c>
      <c r="C7" s="70" t="n"/>
      <c r="D7" s="70" t="inlineStr">
        <is>
          <t>No.</t>
        </is>
      </c>
      <c r="E7" s="70" t="n">
        <v>2</v>
      </c>
      <c r="F7" s="71" t="n">
        <v>36.6</v>
      </c>
      <c r="G7" s="71">
        <f>E7*F7</f>
        <v/>
      </c>
      <c r="H7" s="71" t="n">
        <v>17.62</v>
      </c>
      <c r="I7" s="71">
        <f>E7*H7</f>
        <v/>
      </c>
      <c r="J7" s="70" t="inlineStr">
        <is>
          <t>S.S.B. S000645</t>
        </is>
      </c>
    </row>
    <row r="8" ht="15" customHeight="1" s="66">
      <c r="A8" s="70" t="n">
        <v>4</v>
      </c>
      <c r="B8" s="70" t="inlineStr">
        <is>
          <t>NS 100ml</t>
        </is>
      </c>
      <c r="C8" s="70" t="n"/>
      <c r="D8" s="70" t="inlineStr">
        <is>
          <t>No.</t>
        </is>
      </c>
      <c r="E8" s="70" t="n">
        <v>1</v>
      </c>
      <c r="F8" s="71" t="n">
        <v>21</v>
      </c>
      <c r="G8" s="71">
        <f>E8*F8</f>
        <v/>
      </c>
      <c r="H8" s="71" t="n">
        <v>11.43</v>
      </c>
      <c r="I8" s="71">
        <f>E8*H8</f>
        <v/>
      </c>
      <c r="J8" s="70" t="inlineStr">
        <is>
          <t>S.S.B. S000645</t>
        </is>
      </c>
    </row>
    <row r="9" ht="15" customHeight="1" s="66">
      <c r="A9" s="70" t="n">
        <v>5</v>
      </c>
      <c r="B9" s="70" t="inlineStr">
        <is>
          <t>RL 500ml</t>
        </is>
      </c>
      <c r="C9" s="70" t="n"/>
      <c r="D9" s="70" t="inlineStr">
        <is>
          <t>No.</t>
        </is>
      </c>
      <c r="E9" s="70" t="n">
        <v>1</v>
      </c>
      <c r="F9" s="71" t="n">
        <v>59.31</v>
      </c>
      <c r="G9" s="71">
        <f>E9*F9</f>
        <v/>
      </c>
      <c r="H9" s="71" t="n">
        <v>18.57</v>
      </c>
      <c r="I9" s="71">
        <f>E9*H9</f>
        <v/>
      </c>
      <c r="J9" s="70" t="inlineStr">
        <is>
          <t>S.S.B. S000645</t>
        </is>
      </c>
    </row>
    <row r="10" ht="15" customHeight="1" s="66">
      <c r="A10" s="70" t="n">
        <v>6</v>
      </c>
      <c r="B10" s="70" t="inlineStr">
        <is>
          <t>Syringe 10ml</t>
        </is>
      </c>
      <c r="C10" s="70" t="n"/>
      <c r="D10" s="70" t="inlineStr">
        <is>
          <t>No.</t>
        </is>
      </c>
      <c r="E10" s="70" t="n">
        <v>3</v>
      </c>
      <c r="F10" s="71" t="n">
        <v>13.3</v>
      </c>
      <c r="G10" s="71">
        <f>E10*F10</f>
        <v/>
      </c>
      <c r="H10" s="71" t="n">
        <v>5.3</v>
      </c>
      <c r="I10" s="71">
        <f>E10*H10</f>
        <v/>
      </c>
      <c r="J10" s="70" t="inlineStr">
        <is>
          <t>M.R. MR000753</t>
        </is>
      </c>
    </row>
    <row r="11" ht="15" customHeight="1" s="66">
      <c r="A11" s="70" t="n">
        <v>7</v>
      </c>
      <c r="B11" s="70" t="inlineStr">
        <is>
          <t>Syringe 2ml</t>
        </is>
      </c>
      <c r="C11" s="70" t="n"/>
      <c r="D11" s="70" t="inlineStr">
        <is>
          <t>No.</t>
        </is>
      </c>
      <c r="E11" s="70" t="n">
        <v>2</v>
      </c>
      <c r="F11" s="71" t="n">
        <v>8.449999999999999</v>
      </c>
      <c r="G11" s="71">
        <f>E11*F11</f>
        <v/>
      </c>
      <c r="H11" s="71" t="n">
        <v>2.3</v>
      </c>
      <c r="I11" s="71">
        <f>E11*H11</f>
        <v/>
      </c>
      <c r="J11" s="70" t="inlineStr">
        <is>
          <t>M.R. MR000753</t>
        </is>
      </c>
    </row>
    <row r="12" ht="15" customHeight="1" s="66">
      <c r="A12" s="70" t="n">
        <v>8</v>
      </c>
      <c r="B12" s="70" t="inlineStr">
        <is>
          <t>Foley's Catheter 16 No 2 way</t>
        </is>
      </c>
      <c r="C12" s="70" t="n"/>
      <c r="D12" s="70" t="inlineStr">
        <is>
          <t>No.</t>
        </is>
      </c>
      <c r="E12" s="70" t="n">
        <v>1</v>
      </c>
      <c r="F12" s="71" t="n">
        <v>174</v>
      </c>
      <c r="G12" s="71">
        <f>E12*F12</f>
        <v/>
      </c>
      <c r="H12" s="71" t="n">
        <v>126.5</v>
      </c>
      <c r="I12" s="71">
        <f>E12*H12</f>
        <v/>
      </c>
      <c r="J12" s="70" t="inlineStr">
        <is>
          <t>B.P. 248</t>
        </is>
      </c>
    </row>
    <row r="13" ht="15" customHeight="1" s="66">
      <c r="A13" s="70" t="n">
        <v>9</v>
      </c>
      <c r="B13" s="70" t="inlineStr">
        <is>
          <t>Feeding Tube 8 no</t>
        </is>
      </c>
      <c r="C13" s="70" t="n"/>
      <c r="D13" s="70" t="inlineStr">
        <is>
          <t>No.</t>
        </is>
      </c>
      <c r="E13" s="70" t="n">
        <v>1</v>
      </c>
      <c r="F13" s="71" t="n">
        <v>60</v>
      </c>
      <c r="G13" s="71">
        <f>E13*F13</f>
        <v/>
      </c>
      <c r="H13" s="71" t="n">
        <v>11.43</v>
      </c>
      <c r="I13" s="71">
        <f>E13*H13</f>
        <v/>
      </c>
      <c r="J13" s="70" t="inlineStr">
        <is>
          <t>S.S.B. S000092</t>
        </is>
      </c>
    </row>
    <row r="14" ht="15" customHeight="1" s="66">
      <c r="A14" s="70" t="n">
        <v>10</v>
      </c>
      <c r="B14" s="70" t="inlineStr">
        <is>
          <t>Inj. Anawin Heavy 0.75%</t>
        </is>
      </c>
      <c r="C14" s="70" t="n"/>
      <c r="D14" s="70" t="inlineStr">
        <is>
          <t>No.</t>
        </is>
      </c>
      <c r="E14" s="70" t="n">
        <v>1</v>
      </c>
      <c r="F14" s="71" t="n">
        <v>31.47</v>
      </c>
      <c r="G14" s="71">
        <f>E14*F14</f>
        <v/>
      </c>
      <c r="H14" s="71" t="n">
        <v>24.76</v>
      </c>
      <c r="I14" s="71">
        <f>E14*H14</f>
        <v/>
      </c>
      <c r="J14" s="70" t="inlineStr">
        <is>
          <t>S.S.B. S000092</t>
        </is>
      </c>
    </row>
    <row r="15" ht="15" customHeight="1" s="66">
      <c r="A15" s="125" t="n">
        <v>11</v>
      </c>
      <c r="B15" s="125" t="inlineStr">
        <is>
          <t>Inj Tramazac</t>
        </is>
      </c>
      <c r="C15" s="125" t="n"/>
      <c r="D15" s="125" t="inlineStr">
        <is>
          <t>No.</t>
        </is>
      </c>
      <c r="E15" s="125" t="n">
        <v>2</v>
      </c>
      <c r="F15" s="125" t="n">
        <v>12.56</v>
      </c>
      <c r="G15" s="125" t="n">
        <v>25.12</v>
      </c>
      <c r="H15" s="125" t="n">
        <v>4.76</v>
      </c>
      <c r="I15" s="125" t="n">
        <v>9.52</v>
      </c>
      <c r="J15" s="125" t="inlineStr">
        <is>
          <t>Filled from stock/rate card</t>
        </is>
      </c>
    </row>
    <row r="16" ht="15" customHeight="1" s="66">
      <c r="A16" s="70" t="n">
        <v>12</v>
      </c>
      <c r="B16" s="70" t="inlineStr">
        <is>
          <t>Midaz 2ml</t>
        </is>
      </c>
      <c r="C16" s="70" t="n"/>
      <c r="D16" s="70" t="inlineStr">
        <is>
          <t>No.</t>
        </is>
      </c>
      <c r="E16" s="70" t="n">
        <v>1</v>
      </c>
      <c r="F16" s="71" t="n">
        <v>31.03</v>
      </c>
      <c r="G16" s="71">
        <f>E16*F16</f>
        <v/>
      </c>
      <c r="H16" s="71" t="n">
        <v>23.81</v>
      </c>
      <c r="I16" s="71">
        <f>E16*H16</f>
        <v/>
      </c>
      <c r="J16" s="70" t="inlineStr">
        <is>
          <t>S.S.B. S000092</t>
        </is>
      </c>
    </row>
    <row r="17" ht="15" customHeight="1" s="66">
      <c r="A17" s="70" t="n">
        <v>13</v>
      </c>
      <c r="B17" s="70" t="inlineStr">
        <is>
          <t>Distilled Water</t>
        </is>
      </c>
      <c r="C17" s="70" t="n"/>
      <c r="D17" s="70" t="inlineStr">
        <is>
          <t>No.</t>
        </is>
      </c>
      <c r="E17" s="70" t="n">
        <v>3</v>
      </c>
      <c r="F17" s="71" t="n">
        <v>3.24</v>
      </c>
      <c r="G17" s="71">
        <f>E17*F17</f>
        <v/>
      </c>
      <c r="H17" s="71" t="n">
        <v>2.51</v>
      </c>
      <c r="I17" s="71">
        <f>E17*H17</f>
        <v/>
      </c>
      <c r="J17" s="70" t="inlineStr">
        <is>
          <t>Vivekananda F/747</t>
        </is>
      </c>
    </row>
    <row r="18" ht="15" customHeight="1" s="66">
      <c r="A18" s="125" t="n">
        <v>14</v>
      </c>
      <c r="B18" s="125" t="inlineStr">
        <is>
          <t>Needles 2cc</t>
        </is>
      </c>
      <c r="C18" s="125" t="n"/>
      <c r="D18" s="125" t="inlineStr">
        <is>
          <t>No.</t>
        </is>
      </c>
      <c r="E18" s="125" t="n">
        <v>2</v>
      </c>
      <c r="F18" s="125" t="n">
        <v>6.04</v>
      </c>
      <c r="G18" s="125" t="n">
        <v>12.08</v>
      </c>
      <c r="H18" s="125" t="n">
        <v>1.9</v>
      </c>
      <c r="I18" s="125" t="n">
        <v>3.8</v>
      </c>
      <c r="J18" s="125" t="inlineStr">
        <is>
          <t>Filled from stock/rate card</t>
        </is>
      </c>
    </row>
    <row r="19" ht="15" customHeight="1" s="66">
      <c r="A19" s="70" t="n">
        <v>15</v>
      </c>
      <c r="B19" s="70" t="inlineStr">
        <is>
          <t>Syringe  5 ml</t>
        </is>
      </c>
      <c r="C19" s="70" t="n"/>
      <c r="D19" s="70" t="inlineStr">
        <is>
          <t>No.</t>
        </is>
      </c>
      <c r="E19" s="70" t="n">
        <v>2</v>
      </c>
      <c r="F19" s="71" t="n">
        <v>10.23</v>
      </c>
      <c r="G19" s="71">
        <f>E19*F19</f>
        <v/>
      </c>
      <c r="H19" s="71" t="n">
        <v>3.5</v>
      </c>
      <c r="I19" s="71">
        <f>E19*H19</f>
        <v/>
      </c>
      <c r="J19" s="70" t="inlineStr">
        <is>
          <t>M.R. MR000539</t>
        </is>
      </c>
    </row>
    <row r="20" ht="15" customHeight="1" s="66">
      <c r="A20" s="70" t="n">
        <v>16</v>
      </c>
      <c r="B20" s="70" t="inlineStr">
        <is>
          <t>Gloves 7.0 Sterile</t>
        </is>
      </c>
      <c r="C20" s="70" t="n"/>
      <c r="D20" s="70" t="inlineStr">
        <is>
          <t>No.</t>
        </is>
      </c>
      <c r="E20" s="70" t="n">
        <v>4</v>
      </c>
      <c r="F20" s="71" t="n">
        <v>91</v>
      </c>
      <c r="G20" s="71">
        <f>E20*F20</f>
        <v/>
      </c>
      <c r="H20" s="71" t="n">
        <v>19.06</v>
      </c>
      <c r="I20" s="71">
        <f>E20*H20</f>
        <v/>
      </c>
      <c r="J20" s="70" t="inlineStr">
        <is>
          <t>Vivekananda F/747</t>
        </is>
      </c>
    </row>
    <row r="21" ht="15" customHeight="1" s="66">
      <c r="A21" s="125" t="n">
        <v>17</v>
      </c>
      <c r="B21" s="125" t="inlineStr">
        <is>
          <t>Cap + Mask Set</t>
        </is>
      </c>
      <c r="C21" s="125" t="n"/>
      <c r="D21" s="125" t="inlineStr">
        <is>
          <t>No.</t>
        </is>
      </c>
      <c r="E21" s="125" t="n">
        <v>4</v>
      </c>
      <c r="F21" s="125" t="n">
        <v>25</v>
      </c>
      <c r="G21" s="125" t="n">
        <v>100</v>
      </c>
      <c r="H21" s="125" t="inlineStr">
        <is>
          <t>⚠</t>
        </is>
      </c>
      <c r="I21" s="125" t="inlineStr">
        <is>
          <t>⚠</t>
        </is>
      </c>
      <c r="J21" s="125" t="inlineStr">
        <is>
          <t>MRP filled; cost ⚠</t>
        </is>
      </c>
    </row>
    <row r="22" ht="15" customHeight="1" s="66">
      <c r="A22" s="70" t="n">
        <v>18</v>
      </c>
      <c r="B22" s="70" t="inlineStr">
        <is>
          <t>Betadine Lotion 100ml</t>
        </is>
      </c>
      <c r="C22" s="70" t="n"/>
      <c r="D22" s="70" t="inlineStr">
        <is>
          <t>No.</t>
        </is>
      </c>
      <c r="E22" s="70" t="n">
        <v>1</v>
      </c>
      <c r="F22" s="71" t="n">
        <v>151.33</v>
      </c>
      <c r="G22" s="71">
        <f>E22*F22</f>
        <v/>
      </c>
      <c r="H22" s="71" t="n">
        <v>85.70999999999999</v>
      </c>
      <c r="I22" s="71">
        <f>E22*H22</f>
        <v/>
      </c>
      <c r="J22" s="70" t="inlineStr">
        <is>
          <t>S.S.B. S000645</t>
        </is>
      </c>
    </row>
    <row r="23" ht="15" customHeight="1" s="66">
      <c r="A23" s="70" t="n">
        <v>19</v>
      </c>
      <c r="B23" s="70" t="inlineStr">
        <is>
          <t>Betadine Scrub 100ml</t>
        </is>
      </c>
      <c r="C23" s="70" t="n"/>
      <c r="D23" s="70" t="inlineStr">
        <is>
          <t>No.</t>
        </is>
      </c>
      <c r="E23" s="70" t="n">
        <v>1</v>
      </c>
      <c r="F23" s="71" t="n">
        <v>151.33</v>
      </c>
      <c r="G23" s="71">
        <f>E23*F23</f>
        <v/>
      </c>
      <c r="H23" s="71" t="n">
        <v>85.70999999999999</v>
      </c>
      <c r="I23" s="71">
        <f>E23*H23</f>
        <v/>
      </c>
      <c r="J23" s="70" t="inlineStr">
        <is>
          <t>S.S.B. S000645</t>
        </is>
      </c>
    </row>
    <row r="24" ht="15" customHeight="1" s="66">
      <c r="A24" s="125" t="n">
        <v>20</v>
      </c>
      <c r="B24" s="125" t="inlineStr">
        <is>
          <t>Inj Pipzo</t>
        </is>
      </c>
      <c r="C24" s="125" t="n"/>
      <c r="D24" s="125" t="inlineStr">
        <is>
          <t>No.</t>
        </is>
      </c>
      <c r="E24" s="125" t="n">
        <v>2</v>
      </c>
      <c r="F24" s="125" t="n">
        <v>326.22</v>
      </c>
      <c r="G24" s="125" t="n">
        <v>652.4400000000001</v>
      </c>
      <c r="H24" s="125" t="n">
        <v>95.23999999999999</v>
      </c>
      <c r="I24" s="125" t="n">
        <v>190.48</v>
      </c>
      <c r="J24" s="125" t="inlineStr">
        <is>
          <t>Filled from stock/rate card</t>
        </is>
      </c>
    </row>
    <row r="25" ht="15" customHeight="1" s="66">
      <c r="A25" s="70" t="n">
        <v>21</v>
      </c>
      <c r="B25" s="70" t="inlineStr">
        <is>
          <t>Inj Rantac</t>
        </is>
      </c>
      <c r="C25" s="70" t="n"/>
      <c r="D25" s="70" t="inlineStr">
        <is>
          <t>No.</t>
        </is>
      </c>
      <c r="E25" s="70" t="n">
        <v>1</v>
      </c>
      <c r="F25" s="71" t="n">
        <v>7.48</v>
      </c>
      <c r="G25" s="71">
        <f>E25*F25</f>
        <v/>
      </c>
      <c r="H25" s="71" t="n">
        <v>4.98</v>
      </c>
      <c r="I25" s="71">
        <f>E25*H25</f>
        <v/>
      </c>
      <c r="J25" s="70" t="inlineStr">
        <is>
          <t>M.R. MR000816</t>
        </is>
      </c>
    </row>
    <row r="26" ht="15" customHeight="1" s="66">
      <c r="A26" s="129" t="n">
        <v>22</v>
      </c>
      <c r="B26" s="129" t="inlineStr">
        <is>
          <t>Inj Ondem</t>
        </is>
      </c>
      <c r="C26" s="129" t="n"/>
      <c r="D26" s="129" t="inlineStr">
        <is>
          <t>No.</t>
        </is>
      </c>
      <c r="E26" s="129" t="n">
        <v>4</v>
      </c>
      <c r="F26" s="130" t="n">
        <v>146.25</v>
      </c>
      <c r="G26" s="130">
        <f>E26*F26</f>
        <v/>
      </c>
      <c r="H26" s="130" t="n">
        <v>109.52</v>
      </c>
      <c r="I26" s="130">
        <f>E26*H26</f>
        <v/>
      </c>
      <c r="J26" s="129" t="inlineStr">
        <is>
          <t>⚠ MRP OUTLIER — verify batch; S.S.B. S000670</t>
        </is>
      </c>
    </row>
    <row r="27" ht="15" customHeight="1" s="66">
      <c r="A27" s="70" t="n">
        <v>23</v>
      </c>
      <c r="B27" s="70" t="inlineStr">
        <is>
          <t>xone</t>
        </is>
      </c>
      <c r="C27" s="70" t="n"/>
      <c r="D27" s="70" t="inlineStr">
        <is>
          <t>No.</t>
        </is>
      </c>
      <c r="E27" s="70" t="n">
        <v>1</v>
      </c>
      <c r="F27" s="71" t="n">
        <v>66.64</v>
      </c>
      <c r="G27" s="71">
        <f>E27*F27</f>
        <v/>
      </c>
      <c r="H27" s="71" t="n">
        <v>25.71</v>
      </c>
      <c r="I27" s="71">
        <f>E27*H27</f>
        <v/>
      </c>
      <c r="J27" s="70" t="inlineStr">
        <is>
          <t>S.S.B. S000135</t>
        </is>
      </c>
    </row>
    <row r="28" ht="15" customHeight="1" s="66">
      <c r="A28" s="70" t="n">
        <v>24</v>
      </c>
      <c r="B28" s="70" t="inlineStr">
        <is>
          <t>NS 500ml</t>
        </is>
      </c>
      <c r="C28" s="70" t="n"/>
      <c r="D28" s="70" t="inlineStr">
        <is>
          <t>No.</t>
        </is>
      </c>
      <c r="E28" s="70" t="n">
        <v>3</v>
      </c>
      <c r="F28" s="71" t="n">
        <v>36.6</v>
      </c>
      <c r="G28" s="71">
        <f>E28*F28</f>
        <v/>
      </c>
      <c r="H28" s="71" t="n">
        <v>17.62</v>
      </c>
      <c r="I28" s="71">
        <f>E28*H28</f>
        <v/>
      </c>
      <c r="J28" s="70" t="inlineStr">
        <is>
          <t>S.S.B. S000645</t>
        </is>
      </c>
    </row>
    <row r="29" ht="15" customHeight="1" s="66">
      <c r="A29" s="125" t="n">
        <v>25</v>
      </c>
      <c r="B29" s="125" t="inlineStr">
        <is>
          <t>Syringle 10ml</t>
        </is>
      </c>
      <c r="C29" s="125" t="n"/>
      <c r="D29" s="125" t="inlineStr">
        <is>
          <t>No.</t>
        </is>
      </c>
      <c r="E29" s="125" t="n">
        <v>2</v>
      </c>
      <c r="F29" s="125" t="n">
        <v>20</v>
      </c>
      <c r="G29" s="125" t="n">
        <v>40</v>
      </c>
      <c r="H29" s="125" t="n">
        <v>3.76</v>
      </c>
      <c r="I29" s="125" t="n">
        <v>7.52</v>
      </c>
      <c r="J29" s="125" t="inlineStr">
        <is>
          <t>Filled from stock/rate card</t>
        </is>
      </c>
    </row>
    <row r="30" ht="15" customHeight="1" s="66">
      <c r="A30" s="125" t="n">
        <v>26</v>
      </c>
      <c r="B30" s="125" t="inlineStr">
        <is>
          <t>Syringle 5ml</t>
        </is>
      </c>
      <c r="C30" s="125" t="n"/>
      <c r="D30" s="125" t="inlineStr">
        <is>
          <t>No.</t>
        </is>
      </c>
      <c r="E30" s="125" t="n">
        <v>1</v>
      </c>
      <c r="F30" s="125" t="n">
        <v>10.23</v>
      </c>
      <c r="G30" s="125" t="n">
        <v>10.23</v>
      </c>
      <c r="H30" s="125" t="n">
        <v>2.38</v>
      </c>
      <c r="I30" s="125" t="n">
        <v>2.38</v>
      </c>
      <c r="J30" s="125" t="inlineStr">
        <is>
          <t>Filled from stock/rate card</t>
        </is>
      </c>
    </row>
    <row r="31" ht="15" customHeight="1" s="66">
      <c r="A31" s="70" t="n">
        <v>27</v>
      </c>
      <c r="B31" s="70" t="inlineStr">
        <is>
          <t>Cannula 18G</t>
        </is>
      </c>
      <c r="C31" s="70" t="n"/>
      <c r="D31" s="70" t="inlineStr">
        <is>
          <t>No.</t>
        </is>
      </c>
      <c r="E31" s="70" t="n">
        <v>1</v>
      </c>
      <c r="F31" s="71" t="n">
        <v>321</v>
      </c>
      <c r="G31" s="71">
        <f>E31*F31</f>
        <v/>
      </c>
      <c r="H31" s="71" t="n">
        <v>55</v>
      </c>
      <c r="I31" s="71">
        <f>E31*H31</f>
        <v/>
      </c>
      <c r="J31" s="70" t="inlineStr">
        <is>
          <t>Vivekananda F/684</t>
        </is>
      </c>
    </row>
    <row r="32" ht="15" customHeight="1" s="66">
      <c r="A32" s="70" t="n">
        <v>28</v>
      </c>
      <c r="B32" s="70" t="inlineStr">
        <is>
          <t>Cannula 20G</t>
        </is>
      </c>
      <c r="C32" s="70" t="n"/>
      <c r="D32" s="70" t="inlineStr">
        <is>
          <t>No.</t>
        </is>
      </c>
      <c r="E32" s="70" t="n">
        <v>1</v>
      </c>
      <c r="F32" s="71" t="n">
        <v>198</v>
      </c>
      <c r="G32" s="71">
        <f>E32*F32</f>
        <v/>
      </c>
      <c r="H32" s="71" t="n">
        <v>7.14</v>
      </c>
      <c r="I32" s="71">
        <f>E32*H32</f>
        <v/>
      </c>
      <c r="J32" s="70" t="inlineStr">
        <is>
          <t>S.S.B. S000399</t>
        </is>
      </c>
    </row>
    <row r="33" ht="15" customHeight="1" s="66">
      <c r="A33" s="70" t="n">
        <v>29</v>
      </c>
      <c r="B33" s="70" t="inlineStr">
        <is>
          <t>IV Set</t>
        </is>
      </c>
      <c r="C33" s="70" t="n"/>
      <c r="D33" s="70" t="inlineStr">
        <is>
          <t>No.</t>
        </is>
      </c>
      <c r="E33" s="70" t="n">
        <v>1</v>
      </c>
      <c r="F33" s="71" t="n">
        <v>201</v>
      </c>
      <c r="G33" s="71">
        <f>E33*F33</f>
        <v/>
      </c>
      <c r="H33" s="71" t="n">
        <v>11.9</v>
      </c>
      <c r="I33" s="71">
        <f>E33*H33</f>
        <v/>
      </c>
      <c r="J33" s="70" t="inlineStr">
        <is>
          <t>S.S.B. S000400</t>
        </is>
      </c>
    </row>
    <row r="34" ht="15" customHeight="1" s="66">
      <c r="A34" s="125" t="n">
        <v>30</v>
      </c>
      <c r="B34" s="125" t="inlineStr">
        <is>
          <t>Tramadol</t>
        </is>
      </c>
      <c r="C34" s="125" t="n"/>
      <c r="D34" s="125" t="inlineStr">
        <is>
          <t>No.</t>
        </is>
      </c>
      <c r="E34" s="125" t="n">
        <v>1</v>
      </c>
      <c r="F34" s="125" t="n">
        <v>12.56</v>
      </c>
      <c r="G34" s="125" t="n">
        <v>12.56</v>
      </c>
      <c r="H34" s="125" t="n">
        <v>4.76</v>
      </c>
      <c r="I34" s="125" t="n">
        <v>4.76</v>
      </c>
      <c r="J34" s="125" t="inlineStr">
        <is>
          <t>Filled from stock/rate card</t>
        </is>
      </c>
    </row>
    <row r="35" ht="15" customHeight="1" s="66">
      <c r="A35" s="70" t="n">
        <v>31</v>
      </c>
      <c r="B35" s="70" t="inlineStr">
        <is>
          <t>Easy Fix</t>
        </is>
      </c>
      <c r="C35" s="70" t="n"/>
      <c r="D35" s="70" t="inlineStr">
        <is>
          <t>No.</t>
        </is>
      </c>
      <c r="E35" s="70" t="n">
        <v>1</v>
      </c>
      <c r="F35" s="71" t="n">
        <v>80.59999999999999</v>
      </c>
      <c r="G35" s="71">
        <f>E35*F35</f>
        <v/>
      </c>
      <c r="H35" s="71" t="n">
        <v>42.86</v>
      </c>
      <c r="I35" s="71">
        <f>E35*H35</f>
        <v/>
      </c>
      <c r="J35" s="70" t="inlineStr">
        <is>
          <t>S.S.B. S000293</t>
        </is>
      </c>
    </row>
    <row r="36" ht="15" customHeight="1" s="66">
      <c r="A36" s="70" t="n">
        <v>32</v>
      </c>
      <c r="B36" s="70" t="inlineStr">
        <is>
          <t>Inj. Pan IV (Pantoprazole)</t>
        </is>
      </c>
      <c r="C36" s="70" t="n"/>
      <c r="D36" s="70" t="inlineStr">
        <is>
          <t>No.</t>
        </is>
      </c>
      <c r="E36" s="70" t="n">
        <v>1</v>
      </c>
      <c r="F36" s="71" t="n">
        <v>53.9</v>
      </c>
      <c r="G36" s="71">
        <f>E36*F36</f>
        <v/>
      </c>
      <c r="H36" s="71" t="n">
        <v>17.14</v>
      </c>
      <c r="I36" s="71">
        <f>E36*H36</f>
        <v/>
      </c>
      <c r="J36" s="70" t="inlineStr">
        <is>
          <t>S.S.B. S000400</t>
        </is>
      </c>
    </row>
    <row r="37" ht="15" customHeight="1" s="66">
      <c r="A37" s="126" t="inlineStr">
        <is>
          <t xml:space="preserve">  Subtotal — Consumables / Medicines</t>
        </is>
      </c>
      <c r="G37" s="127">
        <f>SUM(G5:G36)</f>
        <v/>
      </c>
      <c r="H37" s="128" t="n"/>
      <c r="I37" s="127">
        <f>SUM(I5:I36)</f>
        <v/>
      </c>
      <c r="J37" s="128" t="n"/>
    </row>
    <row r="39" ht="15" customHeight="1" s="66">
      <c r="A39" s="124" t="inlineStr">
        <is>
          <t xml:space="preserve">  SECTION B — ROOM / BED CHARGES</t>
        </is>
      </c>
    </row>
    <row r="40" ht="15" customHeight="1" s="66">
      <c r="A40" s="70" t="n">
        <v>1</v>
      </c>
      <c r="B40" s="70" t="inlineStr">
        <is>
          <t>Bed / Room Charges</t>
        </is>
      </c>
      <c r="C40" s="70" t="inlineStr">
        <is>
          <t>Ward</t>
        </is>
      </c>
      <c r="D40" s="70" t="inlineStr">
        <is>
          <t>Day</t>
        </is>
      </c>
      <c r="E40" s="70" t="n">
        <v>1</v>
      </c>
      <c r="F40" s="71" t="n">
        <v>1000</v>
      </c>
      <c r="G40" s="71">
        <f>E40*F40</f>
        <v/>
      </c>
      <c r="H40" s="70" t="inlineStr">
        <is>
          <t>—</t>
        </is>
      </c>
      <c r="I40" s="70" t="inlineStr">
        <is>
          <t>—</t>
        </is>
      </c>
      <c r="J40" s="70" t="inlineStr">
        <is>
          <t>Per sheet</t>
        </is>
      </c>
    </row>
    <row r="42" ht="15" customHeight="1" s="66">
      <c r="A42" s="124" t="inlineStr">
        <is>
          <t xml:space="preserve">  SECTION C — OT / PROCEDURE CHARGES</t>
        </is>
      </c>
    </row>
    <row r="43" ht="15" customHeight="1" s="66">
      <c r="A43" s="70" t="n">
        <v>1</v>
      </c>
      <c r="B43" s="70" t="inlineStr">
        <is>
          <t>OT / Procedure Charges</t>
        </is>
      </c>
      <c r="C43" s="70" t="inlineStr">
        <is>
          <t>Per procedure</t>
        </is>
      </c>
      <c r="D43" s="70" t="inlineStr">
        <is>
          <t>—</t>
        </is>
      </c>
      <c r="E43" s="70" t="n">
        <v>1</v>
      </c>
      <c r="F43" s="71" t="n">
        <v>1500</v>
      </c>
      <c r="G43" s="71">
        <f>E43*F43</f>
        <v/>
      </c>
      <c r="H43" s="70" t="inlineStr">
        <is>
          <t>—</t>
        </is>
      </c>
      <c r="I43" s="70" t="inlineStr">
        <is>
          <t>—</t>
        </is>
      </c>
      <c r="J43" s="70" t="inlineStr">
        <is>
          <t>Per sheet</t>
        </is>
      </c>
    </row>
    <row r="45" ht="15" customHeight="1" s="66">
      <c r="A45" s="72" t="inlineStr">
        <is>
          <t>GRAND TOTAL PATIENT BILL</t>
        </is>
      </c>
      <c r="G45" s="73">
        <f>G37+SUM(G40:G40)+SUM(G43:G43)</f>
        <v/>
      </c>
      <c r="H45" s="73">
        <f>I37</f>
        <v/>
      </c>
      <c r="I45" s="73">
        <f>G45-H45</f>
        <v/>
      </c>
      <c r="J45" s="72" t="inlineStr">
        <is>
          <t>Bill | Cost | Margin</t>
        </is>
      </c>
    </row>
  </sheetData>
  <mergeCells count="6">
    <mergeCell ref="A1:J1"/>
    <mergeCell ref="A45:F45"/>
    <mergeCell ref="A37:F37"/>
    <mergeCell ref="A3:J3"/>
    <mergeCell ref="A39:J39"/>
    <mergeCell ref="A42:J4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J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5" min="1" max="1"/>
    <col width="34" customWidth="1" style="65" min="2" max="2"/>
    <col width="22" customWidth="1" style="65" min="3" max="3"/>
    <col width="8" customWidth="1" style="65" min="4" max="4"/>
    <col width="7" customWidth="1" style="65" min="5" max="5"/>
    <col width="13" customWidth="1" style="65" min="6" max="6"/>
    <col width="15" customWidth="1" style="65" min="7" max="7"/>
    <col width="13" customWidth="1" style="65" min="8" max="8"/>
    <col width="14" customWidth="1" style="65" min="9" max="9"/>
    <col width="26" customWidth="1" style="65" min="10" max="10"/>
  </cols>
  <sheetData>
    <row r="1" ht="15" customHeight="1" s="66">
      <c r="A1" s="67" t="inlineStr">
        <is>
          <t>BK ADITYA MULTISPECIALTY HOSPITAL — PATIENT BILL</t>
        </is>
      </c>
    </row>
    <row r="2" ht="15" customHeight="1" s="66">
      <c r="A2" s="123" t="inlineStr">
        <is>
          <t>Patient: MADANMOHAN BHOWMIK</t>
        </is>
      </c>
      <c r="E2" s="123" t="inlineStr">
        <is>
          <t>Doctor: Dr. S. Gupta</t>
        </is>
      </c>
      <c r="G2" s="123" t="inlineStr">
        <is>
          <t>Date: 17/07/2026</t>
        </is>
      </c>
      <c r="I2" s="123" t="inlineStr">
        <is>
          <t>Proc: TURP — Spinal Anaesthesia</t>
        </is>
      </c>
    </row>
    <row r="3" ht="15" customHeight="1" s="66">
      <c r="A3" s="124" t="inlineStr">
        <is>
          <t xml:space="preserve">  SECTION A — CONSUMABLES &amp; MEDICINES</t>
        </is>
      </c>
    </row>
    <row r="4" ht="15" customHeight="1" s="66">
      <c r="A4" s="69" t="inlineStr">
        <is>
          <t>Sl</t>
        </is>
      </c>
      <c r="B4" s="69" t="inlineStr">
        <is>
          <t>Item Name</t>
        </is>
      </c>
      <c r="C4" s="69" t="inlineStr">
        <is>
          <t>Specification</t>
        </is>
      </c>
      <c r="D4" s="69" t="inlineStr">
        <is>
          <t>Unit</t>
        </is>
      </c>
      <c r="E4" s="69" t="inlineStr">
        <is>
          <t>Qty</t>
        </is>
      </c>
      <c r="F4" s="69" t="inlineStr">
        <is>
          <t>MRP/Unit (₹)</t>
        </is>
      </c>
      <c r="G4" s="69" t="inlineStr">
        <is>
          <t>Charge @MRP (₹)</t>
        </is>
      </c>
      <c r="H4" s="69" t="inlineStr">
        <is>
          <t>Cost/Unit (₹)</t>
        </is>
      </c>
      <c r="I4" s="69" t="inlineStr">
        <is>
          <t>Cost Total (₹)</t>
        </is>
      </c>
      <c r="J4" s="69" t="inlineStr">
        <is>
          <t>Source / Remarks</t>
        </is>
      </c>
    </row>
    <row r="5" ht="15" customHeight="1" s="66">
      <c r="A5" s="70" t="n">
        <v>1</v>
      </c>
      <c r="B5" s="70" t="inlineStr">
        <is>
          <t>IV Set (Sangoflex)</t>
        </is>
      </c>
      <c r="C5" s="70" t="n"/>
      <c r="D5" s="70" t="inlineStr">
        <is>
          <t>No.</t>
        </is>
      </c>
      <c r="E5" s="70" t="n">
        <v>1</v>
      </c>
      <c r="F5" s="71" t="n">
        <v>201</v>
      </c>
      <c r="G5" s="71">
        <f>E5*F5</f>
        <v/>
      </c>
      <c r="H5" s="71" t="n">
        <v>11.9</v>
      </c>
      <c r="I5" s="71">
        <f>E5*H5</f>
        <v/>
      </c>
      <c r="J5" s="70" t="inlineStr">
        <is>
          <t>S.S.B. S000400</t>
        </is>
      </c>
    </row>
    <row r="6" ht="15" customHeight="1" s="66">
      <c r="A6" s="70" t="n">
        <v>2</v>
      </c>
      <c r="B6" s="70" t="inlineStr">
        <is>
          <t>IV Cannula 20G (Vonflon)</t>
        </is>
      </c>
      <c r="C6" s="70" t="n"/>
      <c r="D6" s="70" t="inlineStr">
        <is>
          <t>No.</t>
        </is>
      </c>
      <c r="E6" s="70" t="n">
        <v>1</v>
      </c>
      <c r="F6" s="71" t="n">
        <v>198</v>
      </c>
      <c r="G6" s="71">
        <f>E6*F6</f>
        <v/>
      </c>
      <c r="H6" s="71" t="n">
        <v>7.14</v>
      </c>
      <c r="I6" s="71">
        <f>E6*H6</f>
        <v/>
      </c>
      <c r="J6" s="70" t="inlineStr">
        <is>
          <t>S.S.B. S000399</t>
        </is>
      </c>
    </row>
    <row r="7" ht="15" customHeight="1" s="66">
      <c r="A7" s="70" t="n">
        <v>3</v>
      </c>
      <c r="B7" s="70" t="inlineStr">
        <is>
          <t>Spinal Needle 25G (Spinocaine)</t>
        </is>
      </c>
      <c r="C7" s="70" t="n"/>
      <c r="D7" s="70" t="inlineStr">
        <is>
          <t>No.</t>
        </is>
      </c>
      <c r="E7" s="70" t="n">
        <v>1</v>
      </c>
      <c r="F7" s="71" t="n">
        <v>153</v>
      </c>
      <c r="G7" s="71">
        <f>E7*F7</f>
        <v/>
      </c>
      <c r="H7" s="71" t="n">
        <v>74.29000000000001</v>
      </c>
      <c r="I7" s="71">
        <f>E7*H7</f>
        <v/>
      </c>
      <c r="J7" s="70" t="inlineStr">
        <is>
          <t>S.S.B. S000092</t>
        </is>
      </c>
    </row>
    <row r="8" ht="15" customHeight="1" s="66">
      <c r="A8" s="70" t="n">
        <v>4</v>
      </c>
      <c r="B8" s="70" t="inlineStr">
        <is>
          <t>Syringe 2cc ×2</t>
        </is>
      </c>
      <c r="C8" s="70" t="n"/>
      <c r="D8" s="70" t="inlineStr">
        <is>
          <t>No.</t>
        </is>
      </c>
      <c r="E8" s="70" t="n">
        <v>2</v>
      </c>
      <c r="F8" s="71" t="n">
        <v>8.449999999999999</v>
      </c>
      <c r="G8" s="71">
        <f>E8*F8</f>
        <v/>
      </c>
      <c r="H8" s="71" t="n">
        <v>2.3</v>
      </c>
      <c r="I8" s="71">
        <f>E8*H8</f>
        <v/>
      </c>
      <c r="J8" s="70" t="inlineStr">
        <is>
          <t>M.R. MR000753</t>
        </is>
      </c>
    </row>
    <row r="9" ht="15" customHeight="1" s="66">
      <c r="A9" s="70" t="n">
        <v>5</v>
      </c>
      <c r="B9" s="70" t="inlineStr">
        <is>
          <t>Syringe 5cc ×2</t>
        </is>
      </c>
      <c r="C9" s="70" t="n"/>
      <c r="D9" s="70" t="inlineStr">
        <is>
          <t>No.</t>
        </is>
      </c>
      <c r="E9" s="70" t="n">
        <v>2</v>
      </c>
      <c r="F9" s="71" t="n">
        <v>10.23</v>
      </c>
      <c r="G9" s="71">
        <f>E9*F9</f>
        <v/>
      </c>
      <c r="H9" s="71" t="n">
        <v>3.5</v>
      </c>
      <c r="I9" s="71">
        <f>E9*H9</f>
        <v/>
      </c>
      <c r="J9" s="70" t="inlineStr">
        <is>
          <t>M.R. MR000539</t>
        </is>
      </c>
    </row>
    <row r="10" ht="15" customHeight="1" s="66">
      <c r="A10" s="70" t="n">
        <v>6</v>
      </c>
      <c r="B10" s="70" t="inlineStr">
        <is>
          <t>Syringe 10cc ×3</t>
        </is>
      </c>
      <c r="C10" s="70" t="n"/>
      <c r="D10" s="70" t="inlineStr">
        <is>
          <t>No.</t>
        </is>
      </c>
      <c r="E10" s="70" t="n">
        <v>3</v>
      </c>
      <c r="F10" s="71" t="n">
        <v>13.3</v>
      </c>
      <c r="G10" s="71">
        <f>E10*F10</f>
        <v/>
      </c>
      <c r="H10" s="71" t="n">
        <v>5.3</v>
      </c>
      <c r="I10" s="71">
        <f>E10*H10</f>
        <v/>
      </c>
      <c r="J10" s="70" t="inlineStr">
        <is>
          <t>M.R. MR000753</t>
        </is>
      </c>
    </row>
    <row r="11" ht="15" customHeight="1" s="66">
      <c r="A11" s="70" t="n">
        <v>7</v>
      </c>
      <c r="B11" s="70" t="inlineStr">
        <is>
          <t>Distilled Water 10ml ×3</t>
        </is>
      </c>
      <c r="C11" s="70" t="n"/>
      <c r="D11" s="70" t="inlineStr">
        <is>
          <t>No.</t>
        </is>
      </c>
      <c r="E11" s="70" t="n">
        <v>3</v>
      </c>
      <c r="F11" s="71" t="n">
        <v>3.24</v>
      </c>
      <c r="G11" s="71">
        <f>E11*F11</f>
        <v/>
      </c>
      <c r="H11" s="71" t="n">
        <v>2.51</v>
      </c>
      <c r="I11" s="71">
        <f>E11*H11</f>
        <v/>
      </c>
      <c r="J11" s="70" t="inlineStr">
        <is>
          <t>Vivekananda F/747</t>
        </is>
      </c>
    </row>
    <row r="12" ht="15" customHeight="1" s="66">
      <c r="A12" s="70" t="n">
        <v>8</v>
      </c>
      <c r="B12" s="70" t="inlineStr">
        <is>
          <t>Inj. Anawin Heavy 4ml (Bupivacaine Heavy)</t>
        </is>
      </c>
      <c r="C12" s="70" t="n"/>
      <c r="D12" s="70" t="inlineStr">
        <is>
          <t>No.</t>
        </is>
      </c>
      <c r="E12" s="70" t="n">
        <v>1</v>
      </c>
      <c r="F12" s="71" t="n">
        <v>31.47</v>
      </c>
      <c r="G12" s="71">
        <f>E12*F12</f>
        <v/>
      </c>
      <c r="H12" s="71" t="n">
        <v>24.76</v>
      </c>
      <c r="I12" s="71">
        <f>E12*H12</f>
        <v/>
      </c>
      <c r="J12" s="70" t="inlineStr">
        <is>
          <t>S.S.B. S000092</t>
        </is>
      </c>
    </row>
    <row r="13" ht="15" customHeight="1" s="66">
      <c r="A13" s="125" t="n">
        <v>9</v>
      </c>
      <c r="B13" s="125" t="inlineStr">
        <is>
          <t>Needles 18G + 26G</t>
        </is>
      </c>
      <c r="C13" s="125" t="n"/>
      <c r="D13" s="125" t="inlineStr">
        <is>
          <t>No.</t>
        </is>
      </c>
      <c r="E13" s="125" t="n">
        <v>3</v>
      </c>
      <c r="F13" s="125" t="n">
        <v>3.38</v>
      </c>
      <c r="G13" s="125" t="n">
        <v>10.14</v>
      </c>
      <c r="H13" s="125" t="inlineStr">
        <is>
          <t>⚠</t>
        </is>
      </c>
      <c r="I13" s="125" t="inlineStr">
        <is>
          <t>⚠</t>
        </is>
      </c>
      <c r="J13" s="125" t="inlineStr">
        <is>
          <t>MRP filled; cost ⚠</t>
        </is>
      </c>
    </row>
    <row r="14" ht="15" customHeight="1" s="66">
      <c r="A14" s="70" t="n">
        <v>10</v>
      </c>
      <c r="B14" s="70" t="inlineStr">
        <is>
          <t>Foley's Catheter 22 No. (3-Way)</t>
        </is>
      </c>
      <c r="C14" s="70" t="n"/>
      <c r="D14" s="70" t="inlineStr">
        <is>
          <t>No.</t>
        </is>
      </c>
      <c r="E14" s="70" t="n">
        <v>1</v>
      </c>
      <c r="F14" s="71" t="n">
        <v>491</v>
      </c>
      <c r="G14" s="71">
        <f>E14*F14</f>
        <v/>
      </c>
      <c r="H14" s="71" t="n">
        <v>291.42</v>
      </c>
      <c r="I14" s="71">
        <f>E14*H14</f>
        <v/>
      </c>
      <c r="J14" s="70" t="inlineStr">
        <is>
          <t>Vivekananda F/684</t>
        </is>
      </c>
    </row>
    <row r="15" ht="15" customHeight="1" s="66">
      <c r="A15" s="70" t="n">
        <v>11</v>
      </c>
      <c r="B15" s="70" t="inlineStr">
        <is>
          <t>Urobag</t>
        </is>
      </c>
      <c r="C15" s="70" t="n"/>
      <c r="D15" s="70" t="inlineStr">
        <is>
          <t>No.</t>
        </is>
      </c>
      <c r="E15" s="70" t="n">
        <v>1</v>
      </c>
      <c r="F15" s="71" t="n">
        <v>361</v>
      </c>
      <c r="G15" s="71">
        <f>E15*F15</f>
        <v/>
      </c>
      <c r="H15" s="71" t="n">
        <v>35</v>
      </c>
      <c r="I15" s="71">
        <f>E15*H15</f>
        <v/>
      </c>
      <c r="J15" s="70" t="inlineStr">
        <is>
          <t>Vivekananda F/747</t>
        </is>
      </c>
    </row>
    <row r="16" ht="15" customHeight="1" s="66">
      <c r="A16" s="125" t="n">
        <v>12</v>
      </c>
      <c r="B16" s="125" t="inlineStr">
        <is>
          <t>Gauze — Sterile ×15</t>
        </is>
      </c>
      <c r="C16" s="125" t="n"/>
      <c r="D16" s="125" t="inlineStr">
        <is>
          <t>No.</t>
        </is>
      </c>
      <c r="E16" s="125" t="n">
        <v>15</v>
      </c>
      <c r="F16" s="125" t="n">
        <v>14</v>
      </c>
      <c r="G16" s="125" t="n">
        <v>210</v>
      </c>
      <c r="H16" s="125" t="n">
        <v>5.46</v>
      </c>
      <c r="I16" s="125" t="n">
        <v>81.90000000000001</v>
      </c>
      <c r="J16" s="125" t="inlineStr">
        <is>
          <t>Filled from stock/rate card</t>
        </is>
      </c>
    </row>
    <row r="17" ht="15" customHeight="1" s="66">
      <c r="A17" s="70" t="n">
        <v>13</v>
      </c>
      <c r="B17" s="70" t="inlineStr">
        <is>
          <t>OT Mop / Abd. Swab</t>
        </is>
      </c>
      <c r="C17" s="70" t="n"/>
      <c r="D17" s="70" t="inlineStr">
        <is>
          <t>No.</t>
        </is>
      </c>
      <c r="E17" s="70" t="n">
        <v>1</v>
      </c>
      <c r="F17" s="71" t="n">
        <v>95</v>
      </c>
      <c r="G17" s="71">
        <f>E17*F17</f>
        <v/>
      </c>
      <c r="H17" s="71" t="n">
        <v>40.15</v>
      </c>
      <c r="I17" s="71">
        <f>E17*H17</f>
        <v/>
      </c>
      <c r="J17" s="70" t="inlineStr">
        <is>
          <t>B.P. 349</t>
        </is>
      </c>
    </row>
    <row r="18" ht="15" customHeight="1" s="66">
      <c r="A18" s="70" t="n">
        <v>14</v>
      </c>
      <c r="B18" s="70" t="inlineStr">
        <is>
          <t>Glycine 3000ml</t>
        </is>
      </c>
      <c r="C18" s="70" t="n"/>
      <c r="D18" s="70" t="inlineStr">
        <is>
          <t>No.</t>
        </is>
      </c>
      <c r="E18" s="70" t="n">
        <v>4</v>
      </c>
      <c r="F18" s="71" t="n">
        <v>711.45</v>
      </c>
      <c r="G18" s="71">
        <f>E18*F18</f>
        <v/>
      </c>
      <c r="H18" s="71" t="n">
        <v>168</v>
      </c>
      <c r="I18" s="71">
        <f>E18*H18</f>
        <v/>
      </c>
      <c r="J18" s="70" t="inlineStr">
        <is>
          <t>M.R. MR000539</t>
        </is>
      </c>
    </row>
    <row r="19" ht="15" customHeight="1" s="66">
      <c r="A19" s="70" t="n">
        <v>15</v>
      </c>
      <c r="B19" s="70" t="inlineStr">
        <is>
          <t>Gloves 7.0 — Sterile Surgical ×3</t>
        </is>
      </c>
      <c r="C19" s="70" t="n"/>
      <c r="D19" s="70" t="inlineStr">
        <is>
          <t>No.</t>
        </is>
      </c>
      <c r="E19" s="70" t="n">
        <v>3</v>
      </c>
      <c r="F19" s="71" t="n">
        <v>91</v>
      </c>
      <c r="G19" s="71">
        <f>E19*F19</f>
        <v/>
      </c>
      <c r="H19" s="71" t="n">
        <v>19.06</v>
      </c>
      <c r="I19" s="71">
        <f>E19*H19</f>
        <v/>
      </c>
      <c r="J19" s="70" t="inlineStr">
        <is>
          <t>Vivekananda F/747</t>
        </is>
      </c>
    </row>
    <row r="20" ht="15" customHeight="1" s="66">
      <c r="A20" s="125" t="n">
        <v>16</v>
      </c>
      <c r="B20" s="125" t="inlineStr">
        <is>
          <t>2% Xylocaine Jelly</t>
        </is>
      </c>
      <c r="C20" s="125" t="n"/>
      <c r="D20" s="125" t="inlineStr">
        <is>
          <t>No.</t>
        </is>
      </c>
      <c r="E20" s="125" t="n">
        <v>1</v>
      </c>
      <c r="F20" s="125" t="n">
        <v>34.58</v>
      </c>
      <c r="G20" s="125" t="n">
        <v>34.58</v>
      </c>
      <c r="H20" s="125" t="n">
        <v>27</v>
      </c>
      <c r="I20" s="125" t="n">
        <v>27</v>
      </c>
      <c r="J20" s="125" t="inlineStr">
        <is>
          <t>Filled from stock/rate card</t>
        </is>
      </c>
    </row>
    <row r="21" ht="15" customHeight="1" s="66">
      <c r="A21" s="125" t="n">
        <v>17</v>
      </c>
      <c r="B21" s="125" t="inlineStr">
        <is>
          <t>Sterilium 25ml</t>
        </is>
      </c>
      <c r="C21" s="125" t="n"/>
      <c r="D21" s="125" t="inlineStr">
        <is>
          <t>No.</t>
        </is>
      </c>
      <c r="E21" s="125" t="n">
        <v>1</v>
      </c>
      <c r="F21" s="125" t="n">
        <v>150</v>
      </c>
      <c r="G21" s="125" t="n">
        <v>150</v>
      </c>
      <c r="H21" s="125" t="n">
        <v>38.1</v>
      </c>
      <c r="I21" s="125" t="n">
        <v>38.1</v>
      </c>
      <c r="J21" s="125" t="inlineStr">
        <is>
          <t>Filled from stock/rate card</t>
        </is>
      </c>
    </row>
    <row r="22" ht="15" customHeight="1" s="66">
      <c r="A22" s="70" t="n">
        <v>18</v>
      </c>
      <c r="B22" s="70" t="inlineStr">
        <is>
          <t>Dextrose 5% 500ml</t>
        </is>
      </c>
      <c r="C22" s="70" t="n"/>
      <c r="D22" s="70" t="inlineStr">
        <is>
          <t>No.</t>
        </is>
      </c>
      <c r="E22" s="70" t="n">
        <v>1</v>
      </c>
      <c r="F22" s="71" t="n">
        <v>73</v>
      </c>
      <c r="G22" s="71">
        <f>E22*F22</f>
        <v/>
      </c>
      <c r="H22" s="71" t="n">
        <v>28.6</v>
      </c>
      <c r="I22" s="71">
        <f>E22*H22</f>
        <v/>
      </c>
      <c r="J22" s="70" t="inlineStr">
        <is>
          <t>B.P. 307</t>
        </is>
      </c>
    </row>
    <row r="23" ht="15" customHeight="1" s="66">
      <c r="A23" s="70" t="n">
        <v>19</v>
      </c>
      <c r="B23" s="70" t="inlineStr">
        <is>
          <t>NS 1000ml — Normal Saline 1L ×2</t>
        </is>
      </c>
      <c r="C23" s="70" t="n"/>
      <c r="D23" s="70" t="inlineStr">
        <is>
          <t>No.</t>
        </is>
      </c>
      <c r="E23" s="70" t="n">
        <v>2</v>
      </c>
      <c r="F23" s="71" t="n">
        <v>61.17</v>
      </c>
      <c r="G23" s="71">
        <f>E23*F23</f>
        <v/>
      </c>
      <c r="H23" s="71" t="n">
        <v>30.48</v>
      </c>
      <c r="I23" s="71">
        <f>E23*H23</f>
        <v/>
      </c>
      <c r="J23" s="70" t="inlineStr">
        <is>
          <t>S.S.B. S000645</t>
        </is>
      </c>
    </row>
    <row r="24" ht="15" customHeight="1" s="66">
      <c r="A24" s="70" t="n">
        <v>20</v>
      </c>
      <c r="B24" s="70" t="inlineStr">
        <is>
          <t>NS 3 Litre (Normal Saline 3L)</t>
        </is>
      </c>
      <c r="C24" s="70" t="n"/>
      <c r="D24" s="70" t="inlineStr">
        <is>
          <t>No.</t>
        </is>
      </c>
      <c r="E24" s="70" t="n">
        <v>1</v>
      </c>
      <c r="F24" s="71" t="n">
        <v>61.17</v>
      </c>
      <c r="G24" s="71">
        <f>E24*F24</f>
        <v/>
      </c>
      <c r="H24" s="71" t="n">
        <v>30.48</v>
      </c>
      <c r="I24" s="71">
        <f>E24*H24</f>
        <v/>
      </c>
      <c r="J24" s="70" t="inlineStr">
        <is>
          <t>S.S.B. S000645</t>
        </is>
      </c>
    </row>
    <row r="25" ht="15" customHeight="1" s="66">
      <c r="A25" s="70" t="n">
        <v>21</v>
      </c>
      <c r="B25" s="70" t="inlineStr">
        <is>
          <t>NS 500ml — Normal Saline ×2</t>
        </is>
      </c>
      <c r="C25" s="70" t="n"/>
      <c r="D25" s="70" t="inlineStr">
        <is>
          <t>No.</t>
        </is>
      </c>
      <c r="E25" s="70" t="n">
        <v>2</v>
      </c>
      <c r="F25" s="71" t="n">
        <v>36.6</v>
      </c>
      <c r="G25" s="71">
        <f>E25*F25</f>
        <v/>
      </c>
      <c r="H25" s="71" t="n">
        <v>17.62</v>
      </c>
      <c r="I25" s="71">
        <f>E25*H25</f>
        <v/>
      </c>
      <c r="J25" s="70" t="inlineStr">
        <is>
          <t>S.S.B. S000645</t>
        </is>
      </c>
    </row>
    <row r="26" ht="15" customHeight="1" s="66">
      <c r="A26" s="70" t="n">
        <v>22</v>
      </c>
      <c r="B26" s="70" t="inlineStr">
        <is>
          <t>Betadine Lotion 100ml</t>
        </is>
      </c>
      <c r="C26" s="70" t="n"/>
      <c r="D26" s="70" t="inlineStr">
        <is>
          <t>No.</t>
        </is>
      </c>
      <c r="E26" s="70" t="n">
        <v>1</v>
      </c>
      <c r="F26" s="71" t="n">
        <v>151.33</v>
      </c>
      <c r="G26" s="71">
        <f>E26*F26</f>
        <v/>
      </c>
      <c r="H26" s="71" t="n">
        <v>85.70999999999999</v>
      </c>
      <c r="I26" s="71">
        <f>E26*H26</f>
        <v/>
      </c>
      <c r="J26" s="70" t="inlineStr">
        <is>
          <t>S.S.B. S000645</t>
        </is>
      </c>
    </row>
    <row r="27" ht="15" customHeight="1" s="66">
      <c r="A27" s="125" t="n">
        <v>23</v>
      </c>
      <c r="B27" s="125" t="inlineStr">
        <is>
          <t>Apron</t>
        </is>
      </c>
      <c r="C27" s="125" t="n"/>
      <c r="D27" s="125" t="inlineStr">
        <is>
          <t>No.</t>
        </is>
      </c>
      <c r="E27" s="125" t="n">
        <v>1</v>
      </c>
      <c r="F27" s="125" t="n">
        <v>208</v>
      </c>
      <c r="G27" s="125" t="n">
        <v>208</v>
      </c>
      <c r="H27" s="125" t="inlineStr">
        <is>
          <t>⚠</t>
        </is>
      </c>
      <c r="I27" s="125" t="inlineStr">
        <is>
          <t>⚠</t>
        </is>
      </c>
      <c r="J27" s="125" t="inlineStr">
        <is>
          <t>MRP filled; cost ⚠</t>
        </is>
      </c>
    </row>
    <row r="28" ht="15" customHeight="1" s="66">
      <c r="A28" s="70" t="n">
        <v>24</v>
      </c>
      <c r="B28" s="70" t="inlineStr">
        <is>
          <t>IV Cannula 18G (Venflon)</t>
        </is>
      </c>
      <c r="C28" s="70" t="n"/>
      <c r="D28" s="70" t="inlineStr">
        <is>
          <t>No.</t>
        </is>
      </c>
      <c r="E28" s="70" t="n">
        <v>1</v>
      </c>
      <c r="F28" s="71" t="n">
        <v>321</v>
      </c>
      <c r="G28" s="71">
        <f>E28*F28</f>
        <v/>
      </c>
      <c r="H28" s="71" t="n">
        <v>55</v>
      </c>
      <c r="I28" s="71">
        <f>E28*H28</f>
        <v/>
      </c>
      <c r="J28" s="70" t="inlineStr">
        <is>
          <t>Vivekananda F/684</t>
        </is>
      </c>
    </row>
    <row r="29" ht="15" customHeight="1" s="66">
      <c r="A29" s="70" t="n">
        <v>25</v>
      </c>
      <c r="B29" s="70" t="inlineStr">
        <is>
          <t>Easyfix</t>
        </is>
      </c>
      <c r="C29" s="70" t="n"/>
      <c r="D29" s="70" t="inlineStr">
        <is>
          <t>No.</t>
        </is>
      </c>
      <c r="E29" s="70" t="n">
        <v>1</v>
      </c>
      <c r="F29" s="71" t="n">
        <v>80.59999999999999</v>
      </c>
      <c r="G29" s="71">
        <f>E29*F29</f>
        <v/>
      </c>
      <c r="H29" s="71" t="n">
        <v>42.86</v>
      </c>
      <c r="I29" s="71">
        <f>E29*H29</f>
        <v/>
      </c>
      <c r="J29" s="70" t="inlineStr">
        <is>
          <t>S.S.B. S000293</t>
        </is>
      </c>
    </row>
    <row r="30" ht="15" customHeight="1" s="66">
      <c r="A30" s="70" t="n">
        <v>26</v>
      </c>
      <c r="B30" s="70" t="inlineStr">
        <is>
          <t>NS 500ml — Normal Saline ×4</t>
        </is>
      </c>
      <c r="C30" s="70" t="n"/>
      <c r="D30" s="70" t="inlineStr">
        <is>
          <t>No.</t>
        </is>
      </c>
      <c r="E30" s="70" t="n">
        <v>4</v>
      </c>
      <c r="F30" s="71" t="n">
        <v>36.6</v>
      </c>
      <c r="G30" s="71">
        <f>E30*F30</f>
        <v/>
      </c>
      <c r="H30" s="71" t="n">
        <v>17.62</v>
      </c>
      <c r="I30" s="71">
        <f>E30*H30</f>
        <v/>
      </c>
      <c r="J30" s="70" t="inlineStr">
        <is>
          <t>S.S.B. S000645</t>
        </is>
      </c>
    </row>
    <row r="31" ht="15" customHeight="1" s="66">
      <c r="A31" s="70" t="n">
        <v>27</v>
      </c>
      <c r="B31" s="70" t="inlineStr">
        <is>
          <t>Inj. Pan 40 IV (Pantoprazole)</t>
        </is>
      </c>
      <c r="C31" s="70" t="n"/>
      <c r="D31" s="70" t="inlineStr">
        <is>
          <t>No.</t>
        </is>
      </c>
      <c r="E31" s="70" t="n">
        <v>1</v>
      </c>
      <c r="F31" s="71" t="n">
        <v>53.9</v>
      </c>
      <c r="G31" s="71">
        <f>E31*F31</f>
        <v/>
      </c>
      <c r="H31" s="71" t="n">
        <v>17.14</v>
      </c>
      <c r="I31" s="71">
        <f>E31*H31</f>
        <v/>
      </c>
      <c r="J31" s="70" t="inlineStr">
        <is>
          <t>S.S.B. S000400</t>
        </is>
      </c>
    </row>
    <row r="32" ht="15" customHeight="1" s="66">
      <c r="A32" s="70" t="n">
        <v>28</v>
      </c>
      <c r="B32" s="70" t="inlineStr">
        <is>
          <t>Inj. Monocef 1g (Ceftriaxone) ×7</t>
        </is>
      </c>
      <c r="C32" s="70" t="n"/>
      <c r="D32" s="70" t="inlineStr">
        <is>
          <t>No.</t>
        </is>
      </c>
      <c r="E32" s="70" t="n">
        <v>7</v>
      </c>
      <c r="F32" s="71" t="n">
        <v>66.64</v>
      </c>
      <c r="G32" s="71">
        <f>E32*F32</f>
        <v/>
      </c>
      <c r="H32" s="71" t="n">
        <v>25.71</v>
      </c>
      <c r="I32" s="71">
        <f>E32*H32</f>
        <v/>
      </c>
      <c r="J32" s="70" t="inlineStr">
        <is>
          <t>S.S.B. S000135</t>
        </is>
      </c>
    </row>
    <row r="33" ht="15" customHeight="1" s="66">
      <c r="A33" s="70" t="n">
        <v>29</v>
      </c>
      <c r="B33" s="70" t="inlineStr">
        <is>
          <t>Inj. Xone 1g (Ceftriaxone) ×4</t>
        </is>
      </c>
      <c r="C33" s="70" t="n"/>
      <c r="D33" s="70" t="inlineStr">
        <is>
          <t>No.</t>
        </is>
      </c>
      <c r="E33" s="70" t="n">
        <v>4</v>
      </c>
      <c r="F33" s="71" t="n">
        <v>66.64</v>
      </c>
      <c r="G33" s="71">
        <f>E33*F33</f>
        <v/>
      </c>
      <c r="H33" s="71" t="n">
        <v>25.71</v>
      </c>
      <c r="I33" s="71">
        <f>E33*H33</f>
        <v/>
      </c>
      <c r="J33" s="70" t="inlineStr">
        <is>
          <t>S.S.B. S000135</t>
        </is>
      </c>
    </row>
    <row r="34" ht="15" customHeight="1" s="66">
      <c r="A34" s="125" t="n">
        <v>30</v>
      </c>
      <c r="B34" s="125" t="inlineStr">
        <is>
          <t>Needle 26G</t>
        </is>
      </c>
      <c r="C34" s="125" t="n"/>
      <c r="D34" s="125" t="inlineStr">
        <is>
          <t>No.</t>
        </is>
      </c>
      <c r="E34" s="125" t="n">
        <v>1</v>
      </c>
      <c r="F34" s="125" t="n">
        <v>260</v>
      </c>
      <c r="G34" s="125" t="n">
        <v>260</v>
      </c>
      <c r="H34" s="125" t="inlineStr">
        <is>
          <t>⚠</t>
        </is>
      </c>
      <c r="I34" s="125" t="inlineStr">
        <is>
          <t>⚠</t>
        </is>
      </c>
      <c r="J34" s="125" t="inlineStr">
        <is>
          <t>MRP filled; cost ⚠</t>
        </is>
      </c>
    </row>
    <row r="35" ht="15" customHeight="1" s="66">
      <c r="A35" s="70" t="n">
        <v>31</v>
      </c>
      <c r="B35" s="70" t="inlineStr">
        <is>
          <t>Syringe 10ml</t>
        </is>
      </c>
      <c r="C35" s="70" t="n"/>
      <c r="D35" s="70" t="inlineStr">
        <is>
          <t>No.</t>
        </is>
      </c>
      <c r="E35" s="70" t="n">
        <v>1</v>
      </c>
      <c r="F35" s="71" t="n">
        <v>13.3</v>
      </c>
      <c r="G35" s="71">
        <f>E35*F35</f>
        <v/>
      </c>
      <c r="H35" s="71" t="n">
        <v>5.3</v>
      </c>
      <c r="I35" s="71">
        <f>E35*H35</f>
        <v/>
      </c>
      <c r="J35" s="70" t="inlineStr">
        <is>
          <t>M.R. MR000753</t>
        </is>
      </c>
    </row>
    <row r="36" ht="15" customHeight="1" s="66">
      <c r="A36" s="70" t="n">
        <v>32</v>
      </c>
      <c r="B36" s="70" t="inlineStr">
        <is>
          <t>Syringe 5ml</t>
        </is>
      </c>
      <c r="C36" s="70" t="n"/>
      <c r="D36" s="70" t="inlineStr">
        <is>
          <t>No.</t>
        </is>
      </c>
      <c r="E36" s="70" t="n">
        <v>1</v>
      </c>
      <c r="F36" s="71" t="n">
        <v>10.23</v>
      </c>
      <c r="G36" s="71">
        <f>E36*F36</f>
        <v/>
      </c>
      <c r="H36" s="71" t="n">
        <v>3.5</v>
      </c>
      <c r="I36" s="71">
        <f>E36*H36</f>
        <v/>
      </c>
      <c r="J36" s="70" t="inlineStr">
        <is>
          <t>M.R. MR000539</t>
        </is>
      </c>
    </row>
    <row r="37" ht="15" customHeight="1" s="66">
      <c r="A37" s="125" t="n">
        <v>33</v>
      </c>
      <c r="B37" s="125" t="inlineStr">
        <is>
          <t>Inj. Tetanus Toxoid (T-Tet) 0.5ml</t>
        </is>
      </c>
      <c r="C37" s="125" t="n"/>
      <c r="D37" s="125" t="inlineStr">
        <is>
          <t>No.</t>
        </is>
      </c>
      <c r="E37" s="125" t="n">
        <v>1</v>
      </c>
      <c r="F37" s="125" t="n">
        <v>27.27</v>
      </c>
      <c r="G37" s="125" t="n">
        <v>27.27</v>
      </c>
      <c r="H37" s="125" t="inlineStr">
        <is>
          <t>⚠</t>
        </is>
      </c>
      <c r="I37" s="125" t="inlineStr">
        <is>
          <t>⚠</t>
        </is>
      </c>
      <c r="J37" s="125" t="inlineStr">
        <is>
          <t>MRP filled; cost ⚠</t>
        </is>
      </c>
    </row>
    <row r="38" ht="15" customHeight="1" s="66">
      <c r="A38" s="70" t="n">
        <v>34</v>
      </c>
      <c r="B38" s="70" t="inlineStr">
        <is>
          <t>Syringe 2ml</t>
        </is>
      </c>
      <c r="C38" s="70" t="n"/>
      <c r="D38" s="70" t="inlineStr">
        <is>
          <t>No.</t>
        </is>
      </c>
      <c r="E38" s="70" t="n">
        <v>1</v>
      </c>
      <c r="F38" s="71" t="n">
        <v>8.449999999999999</v>
      </c>
      <c r="G38" s="71">
        <f>E38*F38</f>
        <v/>
      </c>
      <c r="H38" s="71" t="n">
        <v>2.3</v>
      </c>
      <c r="I38" s="71">
        <f>E38*H38</f>
        <v/>
      </c>
      <c r="J38" s="70" t="inlineStr">
        <is>
          <t>M.R. MR000753</t>
        </is>
      </c>
    </row>
    <row r="39" ht="15" customHeight="1" s="66">
      <c r="A39" s="125" t="n">
        <v>35</v>
      </c>
      <c r="B39" s="125" t="inlineStr">
        <is>
          <t>CBG Strip ×14 (Blood Glucose Tests)</t>
        </is>
      </c>
      <c r="C39" s="125" t="n"/>
      <c r="D39" s="125" t="inlineStr">
        <is>
          <t>No.</t>
        </is>
      </c>
      <c r="E39" s="125" t="n">
        <v>14</v>
      </c>
      <c r="F39" s="125" t="n">
        <v>785</v>
      </c>
      <c r="G39" s="125" t="n">
        <v>10990</v>
      </c>
      <c r="H39" s="125" t="inlineStr">
        <is>
          <t>⚠</t>
        </is>
      </c>
      <c r="I39" s="125" t="inlineStr">
        <is>
          <t>⚠</t>
        </is>
      </c>
      <c r="J39" s="125" t="inlineStr">
        <is>
          <t>MRP filled; cost ⚠</t>
        </is>
      </c>
    </row>
    <row r="40" ht="15" customHeight="1" s="66">
      <c r="A40" s="70" t="n">
        <v>36</v>
      </c>
      <c r="B40" s="70" t="inlineStr">
        <is>
          <t>Inj. Monocef 1g (Ceftriaxone) — additional</t>
        </is>
      </c>
      <c r="C40" s="70" t="n"/>
      <c r="D40" s="70" t="inlineStr">
        <is>
          <t>No.</t>
        </is>
      </c>
      <c r="E40" s="70" t="n">
        <v>1</v>
      </c>
      <c r="F40" s="71" t="n">
        <v>66.64</v>
      </c>
      <c r="G40" s="71">
        <f>E40*F40</f>
        <v/>
      </c>
      <c r="H40" s="71" t="n">
        <v>25.71</v>
      </c>
      <c r="I40" s="71">
        <f>E40*H40</f>
        <v/>
      </c>
      <c r="J40" s="70" t="inlineStr">
        <is>
          <t>S.S.B. S000135</t>
        </is>
      </c>
    </row>
    <row r="41" ht="15" customHeight="1" s="66">
      <c r="A41" s="70" t="n">
        <v>37</v>
      </c>
      <c r="B41" s="70" t="inlineStr">
        <is>
          <t>Inj. Rantac 2ml (Ranitidine) ×7</t>
        </is>
      </c>
      <c r="C41" s="70" t="n"/>
      <c r="D41" s="70" t="inlineStr">
        <is>
          <t>No.</t>
        </is>
      </c>
      <c r="E41" s="70" t="n">
        <v>7</v>
      </c>
      <c r="F41" s="71" t="n">
        <v>7.48</v>
      </c>
      <c r="G41" s="71">
        <f>E41*F41</f>
        <v/>
      </c>
      <c r="H41" s="71" t="n">
        <v>4.98</v>
      </c>
      <c r="I41" s="71">
        <f>E41*H41</f>
        <v/>
      </c>
      <c r="J41" s="70" t="inlineStr">
        <is>
          <t>M.R. MR000816</t>
        </is>
      </c>
    </row>
    <row r="42" ht="15" customHeight="1" s="66">
      <c r="A42" s="70" t="n">
        <v>38</v>
      </c>
      <c r="B42" s="70" t="inlineStr">
        <is>
          <t>NS 500ml — Normal Saline (additional)</t>
        </is>
      </c>
      <c r="C42" s="70" t="n"/>
      <c r="D42" s="70" t="inlineStr">
        <is>
          <t>No.</t>
        </is>
      </c>
      <c r="E42" s="70" t="n">
        <v>1</v>
      </c>
      <c r="F42" s="71" t="n">
        <v>36.6</v>
      </c>
      <c r="G42" s="71">
        <f>E42*F42</f>
        <v/>
      </c>
      <c r="H42" s="71" t="n">
        <v>17.62</v>
      </c>
      <c r="I42" s="71">
        <f>E42*H42</f>
        <v/>
      </c>
      <c r="J42" s="70" t="inlineStr">
        <is>
          <t>S.S.B. S000645</t>
        </is>
      </c>
    </row>
    <row r="43" ht="15" customHeight="1" s="66">
      <c r="A43" s="125" t="n">
        <v>39</v>
      </c>
      <c r="B43" s="125" t="inlineStr">
        <is>
          <t>Tab. PCM 650mg — 1 Strip</t>
        </is>
      </c>
      <c r="C43" s="125" t="n"/>
      <c r="D43" s="125" t="inlineStr">
        <is>
          <t>No.</t>
        </is>
      </c>
      <c r="E43" s="125" t="n">
        <v>1</v>
      </c>
      <c r="F43" s="125" t="inlineStr">
        <is>
          <t>⚠</t>
        </is>
      </c>
      <c r="G43" s="125" t="inlineStr">
        <is>
          <t>⚠</t>
        </is>
      </c>
      <c r="H43" s="125" t="inlineStr">
        <is>
          <t>⚠</t>
        </is>
      </c>
      <c r="I43" s="125" t="inlineStr">
        <is>
          <t>⚠</t>
        </is>
      </c>
      <c r="J43" s="125" t="inlineStr">
        <is>
          <t>⚠ MRP NOT FOUND — fill in manually</t>
        </is>
      </c>
    </row>
    <row r="44" ht="15" customHeight="1" s="66">
      <c r="A44" s="129" t="n">
        <v>40</v>
      </c>
      <c r="B44" s="129" t="inlineStr">
        <is>
          <t>Inj. Zofer / Zofran (Ondansetron)</t>
        </is>
      </c>
      <c r="C44" s="129" t="n"/>
      <c r="D44" s="129" t="inlineStr">
        <is>
          <t>No.</t>
        </is>
      </c>
      <c r="E44" s="129" t="n">
        <v>1</v>
      </c>
      <c r="F44" s="130" t="n">
        <v>146.25</v>
      </c>
      <c r="G44" s="130">
        <f>E44*F44</f>
        <v/>
      </c>
      <c r="H44" s="130" t="n">
        <v>109.52</v>
      </c>
      <c r="I44" s="130">
        <f>E44*H44</f>
        <v/>
      </c>
      <c r="J44" s="129" t="inlineStr">
        <is>
          <t>⚠ MRP OUTLIER — verify batch; S.S.B. S000670</t>
        </is>
      </c>
    </row>
    <row r="45" ht="15" customHeight="1" s="66">
      <c r="A45" s="125" t="n">
        <v>41</v>
      </c>
      <c r="B45" s="125" t="inlineStr">
        <is>
          <t>Humainsulin</t>
        </is>
      </c>
      <c r="C45" s="125" t="n"/>
      <c r="D45" s="125" t="inlineStr">
        <is>
          <t>No.</t>
        </is>
      </c>
      <c r="E45" s="125" t="n">
        <v>1</v>
      </c>
      <c r="F45" s="125" t="n">
        <v>177</v>
      </c>
      <c r="G45" s="125" t="n">
        <v>177</v>
      </c>
      <c r="H45" s="125" t="inlineStr">
        <is>
          <t>⚠</t>
        </is>
      </c>
      <c r="I45" s="125" t="inlineStr">
        <is>
          <t>⚠</t>
        </is>
      </c>
      <c r="J45" s="125" t="inlineStr">
        <is>
          <t>MRP filled; cost ⚠</t>
        </is>
      </c>
    </row>
    <row r="46" ht="15" customHeight="1" s="66">
      <c r="A46" s="125" t="n">
        <v>42</v>
      </c>
      <c r="B46" s="125" t="inlineStr">
        <is>
          <t>Inj. Pause 500mg (Tranexamic Acid) ×2</t>
        </is>
      </c>
      <c r="C46" s="125" t="n"/>
      <c r="D46" s="125" t="inlineStr">
        <is>
          <t>No.</t>
        </is>
      </c>
      <c r="E46" s="125" t="n">
        <v>2</v>
      </c>
      <c r="F46" s="125" t="n">
        <v>71.97</v>
      </c>
      <c r="G46" s="125" t="n">
        <v>143.94</v>
      </c>
      <c r="H46" s="125" t="n">
        <v>47.62</v>
      </c>
      <c r="I46" s="125" t="n">
        <v>95.23999999999999</v>
      </c>
      <c r="J46" s="125" t="inlineStr">
        <is>
          <t>Filled from stock/rate card</t>
        </is>
      </c>
    </row>
    <row r="47" ht="15" customHeight="1" s="66">
      <c r="A47" s="70" t="n">
        <v>43</v>
      </c>
      <c r="B47" s="70" t="inlineStr">
        <is>
          <t>NS 100ml — Normal Saline 100ml</t>
        </is>
      </c>
      <c r="C47" s="70" t="n"/>
      <c r="D47" s="70" t="inlineStr">
        <is>
          <t>No.</t>
        </is>
      </c>
      <c r="E47" s="70" t="n">
        <v>1</v>
      </c>
      <c r="F47" s="71" t="n">
        <v>21</v>
      </c>
      <c r="G47" s="71">
        <f>E47*F47</f>
        <v/>
      </c>
      <c r="H47" s="71" t="n">
        <v>11.43</v>
      </c>
      <c r="I47" s="71">
        <f>E47*H47</f>
        <v/>
      </c>
      <c r="J47" s="70" t="inlineStr">
        <is>
          <t>S.S.B. S000645</t>
        </is>
      </c>
    </row>
    <row r="48" ht="15" customHeight="1" s="66">
      <c r="A48" s="70" t="n">
        <v>44</v>
      </c>
      <c r="B48" s="70" t="inlineStr">
        <is>
          <t>NS 1000ml — Normal Saline 1L ×6</t>
        </is>
      </c>
      <c r="C48" s="70" t="n"/>
      <c r="D48" s="70" t="inlineStr">
        <is>
          <t>No.</t>
        </is>
      </c>
      <c r="E48" s="70" t="n">
        <v>6</v>
      </c>
      <c r="F48" s="71" t="n">
        <v>61.17</v>
      </c>
      <c r="G48" s="71">
        <f>E48*F48</f>
        <v/>
      </c>
      <c r="H48" s="71" t="n">
        <v>30.48</v>
      </c>
      <c r="I48" s="71">
        <f>E48*H48</f>
        <v/>
      </c>
      <c r="J48" s="70" t="inlineStr">
        <is>
          <t>S.S.B. S000645</t>
        </is>
      </c>
    </row>
    <row r="49" ht="15" customHeight="1" s="66">
      <c r="A49" s="70" t="n">
        <v>45</v>
      </c>
      <c r="B49" s="70" t="inlineStr">
        <is>
          <t>Inj. Xone 1g (Ceftriaxone) — 22nd entry</t>
        </is>
      </c>
      <c r="C49" s="70" t="n"/>
      <c r="D49" s="70" t="inlineStr">
        <is>
          <t>No.</t>
        </is>
      </c>
      <c r="E49" s="70" t="n">
        <v>1</v>
      </c>
      <c r="F49" s="71" t="n">
        <v>66.64</v>
      </c>
      <c r="G49" s="71">
        <f>E49*F49</f>
        <v/>
      </c>
      <c r="H49" s="71" t="n">
        <v>25.71</v>
      </c>
      <c r="I49" s="71">
        <f>E49*H49</f>
        <v/>
      </c>
      <c r="J49" s="70" t="inlineStr">
        <is>
          <t>S.S.B. S000135</t>
        </is>
      </c>
    </row>
    <row r="50" ht="15" customHeight="1" s="66">
      <c r="A50" s="126" t="inlineStr">
        <is>
          <t xml:space="preserve">  Subtotal — Consumables / Medicines</t>
        </is>
      </c>
      <c r="G50" s="127">
        <f>SUM(G5:G49)</f>
        <v/>
      </c>
      <c r="H50" s="128" t="n"/>
      <c r="I50" s="127">
        <f>SUM(I5:I49)</f>
        <v/>
      </c>
      <c r="J50" s="128" t="n"/>
    </row>
    <row r="52" ht="15" customHeight="1" s="66">
      <c r="A52" s="124" t="inlineStr">
        <is>
          <t xml:space="preserve">  SECTION B — ROOM / BED CHARGES</t>
        </is>
      </c>
    </row>
    <row r="53" ht="15" customHeight="1" s="66">
      <c r="A53" s="70" t="n">
        <v>1</v>
      </c>
      <c r="B53" s="70" t="inlineStr">
        <is>
          <t>Bed / Room Charges — General Ward</t>
        </is>
      </c>
      <c r="C53" s="70" t="inlineStr">
        <is>
          <t>Ward</t>
        </is>
      </c>
      <c r="D53" s="70" t="inlineStr">
        <is>
          <t>Day</t>
        </is>
      </c>
      <c r="E53" s="70" t="n">
        <v>4</v>
      </c>
      <c r="F53" s="71" t="n">
        <v>1500</v>
      </c>
      <c r="G53" s="71">
        <f>E53*F53</f>
        <v/>
      </c>
      <c r="H53" s="70" t="inlineStr">
        <is>
          <t>—</t>
        </is>
      </c>
      <c r="I53" s="70" t="inlineStr">
        <is>
          <t>—</t>
        </is>
      </c>
      <c r="J53" s="70" t="inlineStr">
        <is>
          <t>Per sheet</t>
        </is>
      </c>
    </row>
    <row r="55" ht="15" customHeight="1" s="66">
      <c r="A55" s="124" t="inlineStr">
        <is>
          <t xml:space="preserve">  SECTION C — OT / PROCEDURE CHARGES</t>
        </is>
      </c>
    </row>
    <row r="56" ht="15" customHeight="1" s="66">
      <c r="A56" s="70" t="n">
        <v>1</v>
      </c>
      <c r="B56" s="70" t="inlineStr">
        <is>
          <t>OT / Procedure Charges</t>
        </is>
      </c>
      <c r="C56" s="70" t="inlineStr">
        <is>
          <t>Per procedure</t>
        </is>
      </c>
      <c r="D56" s="70" t="inlineStr">
        <is>
          <t>—</t>
        </is>
      </c>
      <c r="E56" s="70" t="n">
        <v>1</v>
      </c>
      <c r="F56" s="71" t="n">
        <v>1500</v>
      </c>
      <c r="G56" s="71">
        <f>E56*F56</f>
        <v/>
      </c>
      <c r="H56" s="70" t="inlineStr">
        <is>
          <t>—</t>
        </is>
      </c>
      <c r="I56" s="70" t="inlineStr">
        <is>
          <t>—</t>
        </is>
      </c>
      <c r="J56" s="70" t="inlineStr">
        <is>
          <t>Per sheet</t>
        </is>
      </c>
    </row>
    <row r="58" ht="15" customHeight="1" s="66">
      <c r="A58" s="72" t="inlineStr">
        <is>
          <t>GRAND TOTAL PATIENT BILL</t>
        </is>
      </c>
      <c r="G58" s="73">
        <f>G50+SUM(G53:G53)+SUM(G56:G56)</f>
        <v/>
      </c>
      <c r="H58" s="73">
        <f>I50</f>
        <v/>
      </c>
      <c r="I58" s="73">
        <f>G58-H58</f>
        <v/>
      </c>
      <c r="J58" s="72" t="inlineStr">
        <is>
          <t>Bill | Cost | Margin</t>
        </is>
      </c>
    </row>
  </sheetData>
  <mergeCells count="6">
    <mergeCell ref="A1:J1"/>
    <mergeCell ref="A3:J3"/>
    <mergeCell ref="A55:J55"/>
    <mergeCell ref="A58:F58"/>
    <mergeCell ref="A50:F50"/>
    <mergeCell ref="A52:J5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2026-05-12T23:18:51Z</dcterms:created>
  <dcterms:modified xsi:type="dcterms:W3CDTF">2026-07-25T12:32:25Z</dcterms:modified>
  <cp:lastModifiedBy>HA113551@365mak.com</cp:lastModifiedBy>
  <cp:revision>0</cp:revision>
</cp:coreProperties>
</file>