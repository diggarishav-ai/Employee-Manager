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EFF678E-7EAD-4EEF-A1D1-60E436CB6F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 SUMMARY" sheetId="1" r:id="rId1"/>
    <sheet name="Suhana Khatun" sheetId="16" r:id="rId2"/>
    <sheet name="Soumen Banerjee" sheetId="7" r:id="rId3"/>
    <sheet name="Sahid Ali Joddar" sheetId="2" r:id="rId4"/>
    <sheet name="Sudipta Bisai" sheetId="3" r:id="rId5"/>
    <sheet name="Chintapalli Vishal Ratlam" sheetId="5" r:id="rId6"/>
    <sheet name="Asish Chaudhary" sheetId="11" r:id="rId7"/>
    <sheet name="Sahinara Begam" sheetId="4" r:id="rId8"/>
    <sheet name="Siuli Biswas" sheetId="13" r:id="rId9"/>
    <sheet name="Babita Barman" sheetId="6" r:id="rId10"/>
    <sheet name="Mona Chakraborty" sheetId="8" r:id="rId11"/>
    <sheet name="Rahul Das" sheetId="12" r:id="rId12"/>
    <sheet name="Mohammedal Hasina" sheetId="9" r:id="rId13"/>
    <sheet name="Sahinara Begam-2" sheetId="10" r:id="rId14"/>
    <sheet name="Debdatta Sarkar" sheetId="14" r:id="rId15"/>
    <sheet name="Ishita Peri" sheetId="15" r:id="rId16"/>
    <sheet name="Prabir Kumar Paul" sheetId="17" r:id="rId17"/>
    <sheet name="Sopna" sheetId="18" r:id="rId18"/>
    <sheet name="Shankari Chakraborty" sheetId="19" r:id="rId19"/>
    <sheet name="Kalipada Mondal" sheetId="20" r:id="rId20"/>
    <sheet name="Ripusudan Sankar" sheetId="21" r:id="rId21"/>
    <sheet name="Sahid Ali Joddar (Jun)" sheetId="22" r:id="rId22"/>
    <sheet name="Khogen Naskar" sheetId="23" r:id="rId23"/>
    <sheet name="Rahima Bibi Malla" sheetId="24" r:id="rId24"/>
    <sheet name="Shyamal Santra" sheetId="25" r:id="rId25"/>
    <sheet name="Md. Saiful Islam" sheetId="26" r:id="rId26"/>
    <sheet name="Depanita Sankar" sheetId="27" r:id="rId27"/>
    <sheet name="MD Molla" sheetId="28" r:id="rId28"/>
    <sheet name="Rachel Hira" sheetId="29" r:id="rId29"/>
    <sheet name="Raju Mondal" sheetId="30" r:id="rId30"/>
  </sheets>
  <definedNames>
    <definedName name="_xlnm._FilterDatabase" localSheetId="0" hidden="1">'FINAL SUMMARY'!$B$4:$M$33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I16" i="7"/>
  <c r="G16" i="7"/>
  <c r="G17" i="7" s="1"/>
  <c r="I24" i="11"/>
  <c r="G24" i="11"/>
  <c r="G10" i="11"/>
  <c r="I10" i="11"/>
  <c r="I7" i="11"/>
  <c r="G7" i="11"/>
  <c r="G75" i="16"/>
</calcChain>
</file>

<file path=xl/sharedStrings.xml><?xml version="1.0" encoding="utf-8"?>
<sst xmlns="http://schemas.openxmlformats.org/spreadsheetml/2006/main" count="3332" uniqueCount="634">
  <si>
    <t>BK ADITYA MULTISPECIALITY HOSPITAL — CONSOLIDATED PATIENT BILLING SUMMARY</t>
  </si>
  <si>
    <t>29 patients • Feb–Jun 2026 • OT vs Ward medicine split per tab (verified for Rachel Hira; inferred from item type elsewhere) • Cost/Margin where cost data exists</t>
  </si>
  <si>
    <t>Sl</t>
  </si>
  <si>
    <t>Patient Name</t>
  </si>
  <si>
    <t>Date</t>
  </si>
  <si>
    <t>Type / Procedure</t>
  </si>
  <si>
    <t>A. OT Meds
(₹)</t>
  </si>
  <si>
    <t>B. Ward Meds
(₹)</t>
  </si>
  <si>
    <t>C. Bed
(₹)</t>
  </si>
  <si>
    <t>D. OT
(₹)</t>
  </si>
  <si>
    <t>E. Fees/Other
(₹)</t>
  </si>
  <si>
    <t>Grand Bill
(₹)</t>
  </si>
  <si>
    <t>Total Cost
(₹)</t>
  </si>
  <si>
    <t>Margin
(₹)</t>
  </si>
  <si>
    <t>Missing
Items</t>
  </si>
  <si>
    <t>Sahid Ali Joddar</t>
  </si>
  <si>
    <t>17/04/2026</t>
  </si>
  <si>
    <t>Ward</t>
  </si>
  <si>
    <t>Sudipta Bisai</t>
  </si>
  <si>
    <t>25/04/2026</t>
  </si>
  <si>
    <t>Sahinara Begam</t>
  </si>
  <si>
    <t>Chintapalli Vishal</t>
  </si>
  <si>
    <t>01/04/2026</t>
  </si>
  <si>
    <t>OT+Ward</t>
  </si>
  <si>
    <t>Babita Barman</t>
  </si>
  <si>
    <t>05/02/2026</t>
  </si>
  <si>
    <t>OT</t>
  </si>
  <si>
    <t>Souren Banerjee</t>
  </si>
  <si>
    <t>19/04/2026</t>
  </si>
  <si>
    <t>Mona Chakraborty</t>
  </si>
  <si>
    <t>01/05/2026</t>
  </si>
  <si>
    <t>Mohammedal Hasina</t>
  </si>
  <si>
    <t>Sahinara Begam-2</t>
  </si>
  <si>
    <t>Asish Chaudhary</t>
  </si>
  <si>
    <t>22/04/2026</t>
  </si>
  <si>
    <t>Rahul Das</t>
  </si>
  <si>
    <t>Siuli Biswas</t>
  </si>
  <si>
    <t>Ishita Peri</t>
  </si>
  <si>
    <t>Suhana Khatun</t>
  </si>
  <si>
    <t>13/04/2026</t>
  </si>
  <si>
    <t>Prabir Kumar Paul</t>
  </si>
  <si>
    <t>02/06/2026</t>
  </si>
  <si>
    <t>Excision Biopsy</t>
  </si>
  <si>
    <t>Sopna</t>
  </si>
  <si>
    <t>08/06/2026</t>
  </si>
  <si>
    <t>PIRS Spine Surgery</t>
  </si>
  <si>
    <t>Shankari Chakraborty</t>
  </si>
  <si>
    <t>Total Knee Replacement (TKR)</t>
  </si>
  <si>
    <t>Kalipada Mondal</t>
  </si>
  <si>
    <t>09/06/2026</t>
  </si>
  <si>
    <t>TURP</t>
  </si>
  <si>
    <t>Ripusudan Sankar</t>
  </si>
  <si>
    <t>Cystoscopy</t>
  </si>
  <si>
    <t>Sahid Ali Joddar (Jun)</t>
  </si>
  <si>
    <t>12/06/2026</t>
  </si>
  <si>
    <t>TWA</t>
  </si>
  <si>
    <t>Khogen Naskar</t>
  </si>
  <si>
    <t>Rahima Bibi Malla</t>
  </si>
  <si>
    <t>15/06/2026</t>
  </si>
  <si>
    <t>STG (OT) + Ward</t>
  </si>
  <si>
    <t>Shyamal Santra</t>
  </si>
  <si>
    <t>16/06/2026</t>
  </si>
  <si>
    <t>TURP + Ward</t>
  </si>
  <si>
    <t>Md. Saiful Islam</t>
  </si>
  <si>
    <t>18/06/2026</t>
  </si>
  <si>
    <t>Local OT + Ward</t>
  </si>
  <si>
    <t>Depanita Sankar</t>
  </si>
  <si>
    <t>21/06/2026</t>
  </si>
  <si>
    <t>Rt Femur Fracture Fixation + Ward</t>
  </si>
  <si>
    <t>MD Molla</t>
  </si>
  <si>
    <t>22/06/2026</t>
  </si>
  <si>
    <t>Block OT + Ward</t>
  </si>
  <si>
    <t>Rachel Hira</t>
  </si>
  <si>
    <t>06/06/2026</t>
  </si>
  <si>
    <t>Piles Surgery</t>
  </si>
  <si>
    <t>Raju Mondal</t>
  </si>
  <si>
    <t>26/06/2026</t>
  </si>
  <si>
    <t>Spinal Surgery (Mediclaim)</t>
  </si>
  <si>
    <t>GRAND TOTAL — 29 PATIENTS</t>
  </si>
  <si>
    <t>BK ADITYA MULTISPECIALITY HOSPITAL — PATIENT BILL</t>
  </si>
  <si>
    <t>Patient: Sahid Ali Joddar</t>
  </si>
  <si>
    <t>Doctor: Dr. S. Gupta</t>
  </si>
  <si>
    <t>Date: 17/04/2026</t>
  </si>
  <si>
    <t>Type: Ward</t>
  </si>
  <si>
    <t xml:space="preserve">  SECTION A — OT MEDICINES &amp; CONSUMABLES</t>
  </si>
  <si>
    <t>Item Name</t>
  </si>
  <si>
    <t>Specification</t>
  </si>
  <si>
    <t>Unit</t>
  </si>
  <si>
    <t>Qty</t>
  </si>
  <si>
    <t>MRP/Unit (₹)</t>
  </si>
  <si>
    <t>Charge @MRP (₹)</t>
  </si>
  <si>
    <t>Cost/Unit (₹)</t>
  </si>
  <si>
    <t>Cost Total (₹)</t>
  </si>
  <si>
    <t>Source / Remarks</t>
  </si>
  <si>
    <t>— none —</t>
  </si>
  <si>
    <t xml:space="preserve">  Subtotal — OT Medicines</t>
  </si>
  <si>
    <t xml:space="preserve">  SECTION B — WARD MEDICINES &amp; CONSUMABLES</t>
  </si>
  <si>
    <t>Inj. Monocef 1gm</t>
  </si>
  <si>
    <t>Ceftriaxone 1g</t>
  </si>
  <si>
    <t>No.</t>
  </si>
  <si>
    <t>SSB S000068</t>
  </si>
  <si>
    <t>Inj. Ondansetron 2ml</t>
  </si>
  <si>
    <t>Ondansetron</t>
  </si>
  <si>
    <t>Inj. Rantac 2ml</t>
  </si>
  <si>
    <t>Ranitidine</t>
  </si>
  <si>
    <t>5cc Syringe</t>
  </si>
  <si>
    <t>SSB S000069</t>
  </si>
  <si>
    <t>10cc Syringe</t>
  </si>
  <si>
    <t>2ml Syringe</t>
  </si>
  <si>
    <t>SL58 / SSB S000069</t>
  </si>
  <si>
    <t>IVF NS 1000ml</t>
  </si>
  <si>
    <t>Normal Saline 1L</t>
  </si>
  <si>
    <t>SSB S000197</t>
  </si>
  <si>
    <t>Ceftriaxone repeat</t>
  </si>
  <si>
    <t>IVF NS 500ml</t>
  </si>
  <si>
    <t>Normal Saline</t>
  </si>
  <si>
    <t>Inj. Tramadol 50mg</t>
  </si>
  <si>
    <t>Analgesic</t>
  </si>
  <si>
    <t>SL25 / SSB S000135</t>
  </si>
  <si>
    <t>100ml NS</t>
  </si>
  <si>
    <t>SL3 / Vivek F-748</t>
  </si>
  <si>
    <t>Gloves</t>
  </si>
  <si>
    <t>Examination</t>
  </si>
  <si>
    <t>Vivek F-747</t>
  </si>
  <si>
    <t>Lox 2% Jelly</t>
  </si>
  <si>
    <t>Lignocaine Jelly</t>
  </si>
  <si>
    <t>Vivek F-748</t>
  </si>
  <si>
    <t>T.U.R.P. Set</t>
  </si>
  <si>
    <t>Urology irrigation</t>
  </si>
  <si>
    <t>⚠</t>
  </si>
  <si>
    <t>⚠ MRP NOT FOUND — fill in manually</t>
  </si>
  <si>
    <t>Venflon 18G</t>
  </si>
  <si>
    <t>IV Cannula 18G</t>
  </si>
  <si>
    <t>Vivek F-684</t>
  </si>
  <si>
    <t>Easyfix</t>
  </si>
  <si>
    <t>Adhesive dressing</t>
  </si>
  <si>
    <t>User-corrected rate ₹5 (was CLD 3x proxy ₹900)</t>
  </si>
  <si>
    <t>IV Set</t>
  </si>
  <si>
    <t>Cap + Mask</t>
  </si>
  <si>
    <t>Disposable</t>
  </si>
  <si>
    <t>Betadine Lotion 100ml</t>
  </si>
  <si>
    <t>Povidone-Iodine</t>
  </si>
  <si>
    <t>Uro Bag</t>
  </si>
  <si>
    <t xml:space="preserve">  Subtotal — Ward Medicines</t>
  </si>
  <si>
    <t xml:space="preserve">  SECTION C — BED / ROOM CHARGES</t>
  </si>
  <si>
    <t>Bed / Room Charges</t>
  </si>
  <si>
    <t>1 Day(s) × ₹1,000</t>
  </si>
  <si>
    <t>Day</t>
  </si>
  <si>
    <t>—</t>
  </si>
  <si>
    <t>Fixed hospital rate</t>
  </si>
  <si>
    <t xml:space="preserve">  Subtotal — Bed Charges</t>
  </si>
  <si>
    <t xml:space="preserve">  SECTION D — OT / PROCEDURE CHARGES</t>
  </si>
  <si>
    <t>OT / Procedure Charges</t>
  </si>
  <si>
    <t>Per procedure / lump sum</t>
  </si>
  <si>
    <t xml:space="preserve">  Subtotal — OT Charges</t>
  </si>
  <si>
    <t>GRAND TOTAL PATIENT BILL</t>
  </si>
  <si>
    <t>Total Cost: ₹992.74  |  Margin: ₹3,828.36</t>
  </si>
  <si>
    <t>Single-type case (Ward) — all items under one section</t>
  </si>
  <si>
    <t>⚠ 2 item(s) without MRP: T.U.R.P. Set | Cap + Mask</t>
  </si>
  <si>
    <t>Patient: Sudipta Bisai</t>
  </si>
  <si>
    <t>Date: 25/04/2026</t>
  </si>
  <si>
    <t>Inj. Pip20 4.5</t>
  </si>
  <si>
    <t>Piperacillin-Taz 4.5g</t>
  </si>
  <si>
    <t>IV Cannula 20G</t>
  </si>
  <si>
    <t>NS 500ml</t>
  </si>
  <si>
    <t>Syringe 10cc</t>
  </si>
  <si>
    <t>Syringe 5cc</t>
  </si>
  <si>
    <t>Inj. Lox 2%</t>
  </si>
  <si>
    <t>Lignocaine 2%</t>
  </si>
  <si>
    <t>Gauze</t>
  </si>
  <si>
    <t>Sterile</t>
  </si>
  <si>
    <t>Gloves 7 No.</t>
  </si>
  <si>
    <t>Surgical sterile</t>
  </si>
  <si>
    <t>Jelo Net</t>
  </si>
  <si>
    <t>Paraffin tulle</t>
  </si>
  <si>
    <t>Catgut 3-0</t>
  </si>
  <si>
    <t>Absorbable suture</t>
  </si>
  <si>
    <t>Total Cost: ₹1,009.72  |  Margin: ₹3,658.98</t>
  </si>
  <si>
    <t>⚠ 1 item(s) without MRP: Cap + Mask</t>
  </si>
  <si>
    <t>Patient: Sahinara Begam</t>
  </si>
  <si>
    <t>Lox Jelly</t>
  </si>
  <si>
    <t>DNS 500ml</t>
  </si>
  <si>
    <t>Dextrose NS</t>
  </si>
  <si>
    <t>Total Cost: ₹315.02  |  Margin: ₹2,767.98</t>
  </si>
  <si>
    <t>Date: 01/04/2026</t>
  </si>
  <si>
    <t>Type: OT+Ward</t>
  </si>
  <si>
    <t>Spinal Needle 25G</t>
  </si>
  <si>
    <t>Inj. Anawin Heavy 4ml</t>
  </si>
  <si>
    <t>Bupivacaine Heavy</t>
  </si>
  <si>
    <t>SSB S000092</t>
  </si>
  <si>
    <t>Inj. Atropine</t>
  </si>
  <si>
    <t>Inj. Termin</t>
  </si>
  <si>
    <t>Terbutaline</t>
  </si>
  <si>
    <t>Inj. Lasix 4ml</t>
  </si>
  <si>
    <t>Furosemide</t>
  </si>
  <si>
    <t>Inj. Monocef 1g</t>
  </si>
  <si>
    <t>Ceftriaxone</t>
  </si>
  <si>
    <t>Inj. Pan 40</t>
  </si>
  <si>
    <t>Pantoprazole</t>
  </si>
  <si>
    <t>SSB S000135</t>
  </si>
  <si>
    <t>Inj. Ondem 4mg</t>
  </si>
  <si>
    <t>Venflon 20G</t>
  </si>
  <si>
    <t>IV Cannula</t>
  </si>
  <si>
    <t>NS 1000ml</t>
  </si>
  <si>
    <t>SSB S000197/F748</t>
  </si>
  <si>
    <t>RL 500ml</t>
  </si>
  <si>
    <t>Ringer's Lactate</t>
  </si>
  <si>
    <t>Foley Catheter 16 No.</t>
  </si>
  <si>
    <t>Syringe 2cc</t>
  </si>
  <si>
    <t>D/Water 10ml</t>
  </si>
  <si>
    <t>Sterile water</t>
  </si>
  <si>
    <t>Total Cost: ₹1,259.85  |  Margin: ₹4,212.94</t>
  </si>
  <si>
    <t>⚠ OT/Ward split inferred from item type — verify against original indents</t>
  </si>
  <si>
    <t>Patient: Babita Barman</t>
  </si>
  <si>
    <t>Date: 05/02/2026</t>
  </si>
  <si>
    <t>Type: OT</t>
  </si>
  <si>
    <t>Sangoflex / IV Set</t>
  </si>
  <si>
    <t>IV fluid set</t>
  </si>
  <si>
    <t>Vonflon 20G</t>
  </si>
  <si>
    <t>Spinocaine 25G</t>
  </si>
  <si>
    <t>Spinal needle</t>
  </si>
  <si>
    <t>Inj. Zofar 4ml</t>
  </si>
  <si>
    <t>Inj. Atropine 10ml</t>
  </si>
  <si>
    <t>Atropine</t>
  </si>
  <si>
    <t>Inj. Sensoricaine (Heavy)</t>
  </si>
  <si>
    <t>SL7 Anawin Heavy / SSB S000092</t>
  </si>
  <si>
    <t>Foley's Catheter 16 No.</t>
  </si>
  <si>
    <t>Normal Saline 1 Litre</t>
  </si>
  <si>
    <t>NS 1L</t>
  </si>
  <si>
    <t>Sterile surgical</t>
  </si>
  <si>
    <t>Total Cost: ₹810.71  |  Margin: ₹4,109.62</t>
  </si>
  <si>
    <t>Single-type case (OT) — all items under one section</t>
  </si>
  <si>
    <t>Date: 19/04/2026</t>
  </si>
  <si>
    <t>Inj. Xone 1g</t>
  </si>
  <si>
    <t>Inj. Rantac</t>
  </si>
  <si>
    <t>Inj. Ondem</t>
  </si>
  <si>
    <t>Inj. Dynapan AS</t>
  </si>
  <si>
    <t>Diclofenac AQ</t>
  </si>
  <si>
    <t>⚠ Est. — Justin AQ proxy | Cost = 30% below MRP</t>
  </si>
  <si>
    <t>Total Cost: ₹685.38  |  Margin: ₹2,763.46</t>
  </si>
  <si>
    <t>Patient: Mona Chakraborty</t>
  </si>
  <si>
    <t>Date: 01/05/2026</t>
  </si>
  <si>
    <t>D/Water</t>
  </si>
  <si>
    <t>Inj. Zofar</t>
  </si>
  <si>
    <t>Inj. Ketamine 10ml</t>
  </si>
  <si>
    <t>Ketamine</t>
  </si>
  <si>
    <t>⚠ Est. — Cash memo | Cost = 30% below MRP</t>
  </si>
  <si>
    <t>Foley's Catheter 18 No.</t>
  </si>
  <si>
    <t>18Fr Foley</t>
  </si>
  <si>
    <t>⚠ Est. — CLD est. 3x | Cost = 30% below MRP</t>
  </si>
  <si>
    <t>Betadine 1.5cm / Scrub</t>
  </si>
  <si>
    <t>Betadine scrub</t>
  </si>
  <si>
    <t>Spirit</t>
  </si>
  <si>
    <t>Isopropyl Alcohol</t>
  </si>
  <si>
    <t>O2</t>
  </si>
  <si>
    <t>Oxygen</t>
  </si>
  <si>
    <t>Cardiac Monitor</t>
  </si>
  <si>
    <t>Equipment</t>
  </si>
  <si>
    <t>Pulse Oximeter</t>
  </si>
  <si>
    <t>Total Cost: ₹602.80  |  Margin: ₹3,604.65</t>
  </si>
  <si>
    <t>⚠ 3 item(s) without MRP: O2 | Cardiac Monitor | Pulse Oximeter</t>
  </si>
  <si>
    <t>Betadine 1.5cm / 2 Scrub</t>
  </si>
  <si>
    <t>Total Cost: ₹317.44  |  Margin: ₹2,756.98</t>
  </si>
  <si>
    <t>Patient: Sahinara Begam-2</t>
  </si>
  <si>
    <t>Surgical gloves</t>
  </si>
  <si>
    <t>Total Cost: ₹314.55  |  Margin: ₹2,764.70</t>
  </si>
  <si>
    <t>Date: 22/04/2026</t>
  </si>
  <si>
    <t>IV+ NS 100 Ml</t>
  </si>
  <si>
    <t>Normal Saline 100ml</t>
  </si>
  <si>
    <t>Patient: Rahul Das</t>
  </si>
  <si>
    <t>Doctor: Dr. K. Digga</t>
  </si>
  <si>
    <t>Lignocaine</t>
  </si>
  <si>
    <t>Betadine Ointment</t>
  </si>
  <si>
    <t>Povidone-Iodine oint</t>
  </si>
  <si>
    <t>⚠ Est. — SSB proxy | Cost = 30% below MRP</t>
  </si>
  <si>
    <t>Surgical Blade 24 No.</t>
  </si>
  <si>
    <t>Surgical blade</t>
  </si>
  <si>
    <t>⚠ Est. proxy — Blade No.20 rate SL82</t>
  </si>
  <si>
    <t>Surgical Gloves No. 7</t>
  </si>
  <si>
    <t>Sterile gloves</t>
  </si>
  <si>
    <t>Suture SN9336TFP (2-0)</t>
  </si>
  <si>
    <t>Non-absorbable suture</t>
  </si>
  <si>
    <t>Inj. Propofol 10ml</t>
  </si>
  <si>
    <t>Propofol</t>
  </si>
  <si>
    <t>⚠ Est. — Market rate | Cost = 30% below MRP</t>
  </si>
  <si>
    <t>Surgical Gloves 7 No.</t>
  </si>
  <si>
    <t>Inj. ROPIN Heavy 0.75%</t>
  </si>
  <si>
    <t>Ropivacaine Heavy</t>
  </si>
  <si>
    <t>Inj. Adrenaline</t>
  </si>
  <si>
    <t>SL43 / Stock file</t>
  </si>
  <si>
    <t>Inj. Pilzo 4.5</t>
  </si>
  <si>
    <t>Piperacillin-Taz</t>
  </si>
  <si>
    <t>Venflon 20</t>
  </si>
  <si>
    <t>Normal Saline 500ml</t>
  </si>
  <si>
    <t>IV Fluid</t>
  </si>
  <si>
    <t>5cc Dispoven</t>
  </si>
  <si>
    <t>Syringe 5ml</t>
  </si>
  <si>
    <t>10cc Dispoven</t>
  </si>
  <si>
    <t>Syringe 10ml</t>
  </si>
  <si>
    <t>2cc Dispoven</t>
  </si>
  <si>
    <t>Syringe 2ml</t>
  </si>
  <si>
    <t>Inj. Xone</t>
  </si>
  <si>
    <t>SL16 / SSB S000068</t>
  </si>
  <si>
    <t>Inj. Pan</t>
  </si>
  <si>
    <t>SL33 / SSB S000135</t>
  </si>
  <si>
    <t>Inj. Zofer IV</t>
  </si>
  <si>
    <t>Inj. Dynapar IV</t>
  </si>
  <si>
    <t>Diclofenac IV</t>
  </si>
  <si>
    <t>Foley Flex</t>
  </si>
  <si>
    <t>Foley Catheter</t>
  </si>
  <si>
    <t>Inj. Ropin 20ml</t>
  </si>
  <si>
    <t>Ropivacaine</t>
  </si>
  <si>
    <t>Inj. Tanmin</t>
  </si>
  <si>
    <t>Inj. Midaz</t>
  </si>
  <si>
    <t>Midazolam</t>
  </si>
  <si>
    <t>Roller Bandage 6"</t>
  </si>
  <si>
    <t>Crepe bandage</t>
  </si>
  <si>
    <t>Total Cost: ₹2,548.62  |  Margin: ₹6,169.15</t>
  </si>
  <si>
    <t>Patient: Siuli Biswas</t>
  </si>
  <si>
    <t>Doctor: Dr. A.M. Digga</t>
  </si>
  <si>
    <t>Misoprostol Tab 200mcg</t>
  </si>
  <si>
    <t>Misoprostol</t>
  </si>
  <si>
    <t>Inj. Xone (1g)</t>
  </si>
  <si>
    <t>Inj. Ondem (2ml)</t>
  </si>
  <si>
    <t>Inj. Rantac (2ml)</t>
  </si>
  <si>
    <t>Inj. Pyrolate</t>
  </si>
  <si>
    <t>Glycopyrrolate</t>
  </si>
  <si>
    <t>Inj. Supnidol</t>
  </si>
  <si>
    <t>Buprenorphine</t>
  </si>
  <si>
    <t>⚠ Est. — Internet est. | Cost = 30% below MRP</t>
  </si>
  <si>
    <t>Inj. Oxytocin</t>
  </si>
  <si>
    <t>Inj. Methanjin (Methergin)</t>
  </si>
  <si>
    <t>Methylergometrine</t>
  </si>
  <si>
    <t>Kanamon Cannula 8No</t>
  </si>
  <si>
    <t>Specialty cannula</t>
  </si>
  <si>
    <t>CLD 3x</t>
  </si>
  <si>
    <t>Kanamon Cannula 7No</t>
  </si>
  <si>
    <t>Kanamon Cannula 5No</t>
  </si>
  <si>
    <t>Molisheet</t>
  </si>
  <si>
    <t>Absorbent sheet</t>
  </si>
  <si>
    <t>⚠ Est. — Stock reg est. | Cost = 30% below MRP</t>
  </si>
  <si>
    <t>Total Cost: ₹719.19  |  Margin: ₹3,522.36</t>
  </si>
  <si>
    <t>Doctor: Not mentioned</t>
  </si>
  <si>
    <t>Date: Not mentioned</t>
  </si>
  <si>
    <t>Cap</t>
  </si>
  <si>
    <t>Mask</t>
  </si>
  <si>
    <t>Total Cost: ₹254.79  |  Margin: ₹2,702.51</t>
  </si>
  <si>
    <t>⚠ 2 item(s) without MRP: Cap | Mask</t>
  </si>
  <si>
    <t>Patient: Ishita Peri</t>
  </si>
  <si>
    <t>Propofol Injection 20ml</t>
  </si>
  <si>
    <t>Ondansetron Injection 4ml</t>
  </si>
  <si>
    <t>Pentazocine Injection</t>
  </si>
  <si>
    <t>Pentazocine</t>
  </si>
  <si>
    <t>Inj. Medazolam</t>
  </si>
  <si>
    <t>Inj. PCM 1000ml</t>
  </si>
  <si>
    <t>Paracetamol IV</t>
  </si>
  <si>
    <t>⚠ Est. — PCM 100ml proxy | Cost = 30% below MRP</t>
  </si>
  <si>
    <t>Inj. MEM</t>
  </si>
  <si>
    <t>Meropenem</t>
  </si>
  <si>
    <t>Inj. Tramadol</t>
  </si>
  <si>
    <t>Tramadol</t>
  </si>
  <si>
    <t>Total Cost: ₹1,005.65  |  Margin: ₹3,021.13</t>
  </si>
  <si>
    <t>Patient: Suhana Khatun</t>
  </si>
  <si>
    <t>Doctor: Ajita Mishra</t>
  </si>
  <si>
    <t>Date: 13/04/2026</t>
  </si>
  <si>
    <t>Inj. Pause 500mg</t>
  </si>
  <si>
    <t>Tranexamic Acid</t>
  </si>
  <si>
    <t>Inj. Lox 2% / 30ml</t>
  </si>
  <si>
    <t>Inj. Mezolam 5mg</t>
  </si>
  <si>
    <t>Inj. Carbetocin 100mcg</t>
  </si>
  <si>
    <t>Carbetocin</t>
  </si>
  <si>
    <t>Inj. Oxytocine 4IU</t>
  </si>
  <si>
    <t>Oxytocin</t>
  </si>
  <si>
    <t>Surgical Gloves 7.0</t>
  </si>
  <si>
    <t>Surgicare Gloves 6.5</t>
  </si>
  <si>
    <t>Plain Sheet</t>
  </si>
  <si>
    <t>Draping sheet</t>
  </si>
  <si>
    <t>SL83 / BP Pharma #248/#288</t>
  </si>
  <si>
    <t>Mop</t>
  </si>
  <si>
    <t>Sterile mop</t>
  </si>
  <si>
    <t>Diathermy Pencil</t>
  </si>
  <si>
    <t>OT pencil</t>
  </si>
  <si>
    <t>Vacuum Suck</t>
  </si>
  <si>
    <t>Vacuum suction</t>
  </si>
  <si>
    <t>SL102 Suction Tube VACCU / Perfia</t>
  </si>
  <si>
    <t>W9932</t>
  </si>
  <si>
    <t>Cord Clamp</t>
  </si>
  <si>
    <t>Blade No. 10</t>
  </si>
  <si>
    <t>SL81 / Stock file</t>
  </si>
  <si>
    <t>Blade No. 20</t>
  </si>
  <si>
    <t>SL82 / Stock file</t>
  </si>
  <si>
    <t>Inj. Fentanyl 30mcg</t>
  </si>
  <si>
    <t>Fentanyl</t>
  </si>
  <si>
    <t>Unknown</t>
  </si>
  <si>
    <t>Inj. Termin 30mg</t>
  </si>
  <si>
    <t>Inj. Dynoperton 75mg</t>
  </si>
  <si>
    <t>Diclofenac</t>
  </si>
  <si>
    <t>Inj. K-Nat</t>
  </si>
  <si>
    <t>Potassium</t>
  </si>
  <si>
    <t>Inj. Jonac 100</t>
  </si>
  <si>
    <t>Diclofenac 100mg</t>
  </si>
  <si>
    <t>Inj. Misobost 200mcg</t>
  </si>
  <si>
    <t>Inj. T-Bact</t>
  </si>
  <si>
    <t>T-Bact Oint</t>
  </si>
  <si>
    <t>Spinocan (26G)</t>
  </si>
  <si>
    <t>Nail Cath (10)</t>
  </si>
  <si>
    <t>Nail catheter</t>
  </si>
  <si>
    <t>Feeding Tube (06)</t>
  </si>
  <si>
    <t>Feeding tube</t>
  </si>
  <si>
    <t>Sanitary Pad</t>
  </si>
  <si>
    <t>Absorbent pad</t>
  </si>
  <si>
    <t>Roll Bandage 6"</t>
  </si>
  <si>
    <t>AbGel</t>
  </si>
  <si>
    <t>Gelatin sponge</t>
  </si>
  <si>
    <t>HS 2346D</t>
  </si>
  <si>
    <t>Suture</t>
  </si>
  <si>
    <t>Moli Sheet</t>
  </si>
  <si>
    <t>Inj. Xone 1gm</t>
  </si>
  <si>
    <t>Inj. Metrogyle 100ml</t>
  </si>
  <si>
    <t>Metronidazole IV</t>
  </si>
  <si>
    <t>Inj. Reglan</t>
  </si>
  <si>
    <t>Metoclopramide</t>
  </si>
  <si>
    <t>Venflon</t>
  </si>
  <si>
    <t>IVF RL 500ml</t>
  </si>
  <si>
    <t>IVF DNS 500ml</t>
  </si>
  <si>
    <t>DNS</t>
  </si>
  <si>
    <t>Total Cost: ₹4,775.19  |  Margin: ₹8,235.57</t>
  </si>
  <si>
    <t>⚠ 4 item(s) without MRP: Inj. Campuse 2acs | Sanitary Pad | W9932 | Cord Clamp</t>
  </si>
  <si>
    <t>Patient: Prabir Kumar Paul</t>
  </si>
  <si>
    <t>Date: 02/06/2026</t>
  </si>
  <si>
    <t>Type: Excision Biopsy</t>
  </si>
  <si>
    <t>SL69 / Betadine Lotion 100ml</t>
  </si>
  <si>
    <t>Plain Sheet (OT)</t>
  </si>
  <si>
    <t>SL83 / Plain Sheet (OT Draping)</t>
  </si>
  <si>
    <t>Inj. Xone 1g (Ceftriaxone)</t>
  </si>
  <si>
    <t>SL16 / Inj. Xone/Monocef 1g (Ceftriaxone)</t>
  </si>
  <si>
    <t>SL47 / IV Cannula 18G / Venflon 18G</t>
  </si>
  <si>
    <t>SL45 / IV Cannula 20G / Venflon 20G</t>
  </si>
  <si>
    <t>SL48 / Easyfix (Adhesive Film Dressing)</t>
  </si>
  <si>
    <t>D. Water 10ml (Sterile)</t>
  </si>
  <si>
    <t>SL59 / D. Water 10ml (Sterile Water)</t>
  </si>
  <si>
    <t>SL56 / Syringe 10cc / 10ml</t>
  </si>
  <si>
    <t>SL57 / Syringe 5cc / 5ml</t>
  </si>
  <si>
    <t>Inj. Ondem (Ondansetron)</t>
  </si>
  <si>
    <t>SL29 / Inj. Ondem/Zofer/Zofar (Ondansetron</t>
  </si>
  <si>
    <t>Needles 26G</t>
  </si>
  <si>
    <t>⚠ ENTER MRP</t>
  </si>
  <si>
    <t>SL60 — MRP missing, enter manually</t>
  </si>
  <si>
    <t>1 hr × ₹1,000</t>
  </si>
  <si>
    <t>⚠ 1 item(s) without MRP: Needles 26G</t>
  </si>
  <si>
    <t>Patient: Sopna</t>
  </si>
  <si>
    <t>Date: 08/06/2026</t>
  </si>
  <si>
    <t>Type: PIRS Spine Surgery</t>
  </si>
  <si>
    <t>Inj. Anawin Heavy 0.75%</t>
  </si>
  <si>
    <t>SL7 / Inj. Anawin Heavy 0.75%/4ml (Bupiva</t>
  </si>
  <si>
    <t>Gloves 7.0 Sterile</t>
  </si>
  <si>
    <t>SL65 / Gloves 7.0 (Sterile Surgical)</t>
  </si>
  <si>
    <t>Cap + Mask Set</t>
  </si>
  <si>
    <t>SL86 — MRP missing, enter manually</t>
  </si>
  <si>
    <t>Betadine Scrub 100ml</t>
  </si>
  <si>
    <t>SL72 / Betadine Scrub 100ml</t>
  </si>
  <si>
    <t>SL1 / NS 500ml — Normal Saline</t>
  </si>
  <si>
    <t>NS 100ml</t>
  </si>
  <si>
    <t>SL3 / NS 100ml — Normal Saline 100ml</t>
  </si>
  <si>
    <t>SL4 / RL 500ml — Ringer's Lactate</t>
  </si>
  <si>
    <t>SL58 / Syringe 2cc / 2ml</t>
  </si>
  <si>
    <t>SL44 / IV Set / Sangoflex</t>
  </si>
  <si>
    <t>Foley's Catheter 20 No.</t>
  </si>
  <si>
    <t>SL52 / Foley's Catheter 20 No.</t>
  </si>
  <si>
    <t>Inj. Pan IV (Pantoprazole)</t>
  </si>
  <si>
    <t>SL33 / Inj. Pan 40 / Pantocid (Pantoprazol</t>
  </si>
  <si>
    <t>4 hr × ₹1,000</t>
  </si>
  <si>
    <t>⚠ 1 item(s) without MRP: Cap + Mask Set</t>
  </si>
  <si>
    <t>Patient: Shankari Chakraborty</t>
  </si>
  <si>
    <t>Type: Total Knee Replacement (TKR)</t>
  </si>
  <si>
    <t>Inj. Anawin Heavy 0.75% (Spinocaine)</t>
  </si>
  <si>
    <t>Suture Ethilon 2-0</t>
  </si>
  <si>
    <t>SL77 / Suture Ethilon 2-0 / SN9336TFP</t>
  </si>
  <si>
    <t>Suture Vicryl 1</t>
  </si>
  <si>
    <t>SL78 / Suture Vicryl 1 (2421)</t>
  </si>
  <si>
    <t>Gloves 6.5 Sterile</t>
  </si>
  <si>
    <t>SL66 / Gloves 6.5 (Sterile Surgical)</t>
  </si>
  <si>
    <t>Gauze Pieces (Sterile)</t>
  </si>
  <si>
    <t>SL63 / Gauze Pieces (Sterile)</t>
  </si>
  <si>
    <t>Betadine Ointment 40g</t>
  </si>
  <si>
    <t>SL71 — MRP missing, enter manually</t>
  </si>
  <si>
    <t>D. Water 10ml</t>
  </si>
  <si>
    <t>Gypsona POP Bandage 4"</t>
  </si>
  <si>
    <t>SL85 / Gypsona POP Bandage 40G</t>
  </si>
  <si>
    <t>Moli/Mackintosh Sheet</t>
  </si>
  <si>
    <t>SL87 / Moli / Mackintosh Sheet</t>
  </si>
  <si>
    <t>Inj. Neomol IV 10ml</t>
  </si>
  <si>
    <t>SL28 / Inj. Neomol IV 10ml (PCM IV)</t>
  </si>
  <si>
    <t>SL50 / Foley's Catheter 16 No.</t>
  </si>
  <si>
    <t>SL49 / Uro Bag</t>
  </si>
  <si>
    <t>Inj. Ondem 2ml</t>
  </si>
  <si>
    <t>Inj. Pan IV</t>
  </si>
  <si>
    <t>Inj. Diclofenac AQ (Justin)</t>
  </si>
  <si>
    <t xml:space="preserve">SL22 / Inj. Dynapar/Justin AQ (Diclofenac </t>
  </si>
  <si>
    <t>Inj. PCM 100ml (Paracetamol IV)</t>
  </si>
  <si>
    <t>SL27 / Inj. PCM 100ml (Paracetamol IV)</t>
  </si>
  <si>
    <t>Inj. Cetil (Cefuroxime Axetil)</t>
  </si>
  <si>
    <t>SL21 / Inj. Cetil (Cefuroxime Axetil)</t>
  </si>
  <si>
    <t>SL25 / Inj. Tramadol 50mg</t>
  </si>
  <si>
    <t>SL74 / Roller Bandage 6" (Crepe)</t>
  </si>
  <si>
    <t>Gamji Roll</t>
  </si>
  <si>
    <t>SL108 / Gamji Roll</t>
  </si>
  <si>
    <t>6 Day(s) × ₹1,000</t>
  </si>
  <si>
    <t>3 hr × ₹1,000</t>
  </si>
  <si>
    <t>⚠ 2 item(s) without MRP: Cap + Mask Set | Betadine Ointment 40g</t>
  </si>
  <si>
    <t>Patient: Kalipada Mondal</t>
  </si>
  <si>
    <t>Date: 09/06/2026</t>
  </si>
  <si>
    <t>Type: TURP</t>
  </si>
  <si>
    <t>SL11 / Inj. Atropine 1ml</t>
  </si>
  <si>
    <t>OT Mop / Abd Swab</t>
  </si>
  <si>
    <t>SL64 / OT Mop / Abd. Swab</t>
  </si>
  <si>
    <t>Surgical Blade No. 10</t>
  </si>
  <si>
    <t>SL81 / Surgical Blade No. 10</t>
  </si>
  <si>
    <t>NS 1000ml (Glycine sub)</t>
  </si>
  <si>
    <t>SL2 / NS 1000ml — Normal Saline 1L</t>
  </si>
  <si>
    <t>Inj. Rantac (Ranitidine)</t>
  </si>
  <si>
    <t>SL30 / Inj. Rantac (Ranitidine)</t>
  </si>
  <si>
    <t>2 hr × ₹1,000</t>
  </si>
  <si>
    <t>Patient: Ripusudan Sankar</t>
  </si>
  <si>
    <t>Type: Cystoscopy</t>
  </si>
  <si>
    <t>Date: 12/06/2026</t>
  </si>
  <si>
    <t>Type: TWA</t>
  </si>
  <si>
    <t>Betadine Lotion 50ml</t>
  </si>
  <si>
    <t>SL70 / Betadine Lotion 50ml</t>
  </si>
  <si>
    <t>Patient: Khogen Naskar</t>
  </si>
  <si>
    <t>Inj. MEM (Meropenem)</t>
  </si>
  <si>
    <t>SL18 / Inj. MEM (Meropenem)</t>
  </si>
  <si>
    <t>2 Day(s) × ₹1,000</t>
  </si>
  <si>
    <t>Patient: Rahima Bibi Malla</t>
  </si>
  <si>
    <t>Date: 15/06/2026</t>
  </si>
  <si>
    <t>Type: STG (OT) + Ward</t>
  </si>
  <si>
    <t>Inj. Midazolam</t>
  </si>
  <si>
    <t>SL9 / Inj. Midazolam 5ml (Mezolam)</t>
  </si>
  <si>
    <t>SL35 / Inj. Oxytocin/Syntocinon 1ml</t>
  </si>
  <si>
    <t>O2 (per use)</t>
  </si>
  <si>
    <t>SL96 — MRP missing, enter manually</t>
  </si>
  <si>
    <t>Inj. PCM 100ml</t>
  </si>
  <si>
    <t>SL51 / Foley's Catheter 18 No.</t>
  </si>
  <si>
    <t>⚠ 1 item(s) without MRP: O2 (per use)</t>
  </si>
  <si>
    <t>Patient: Shyamal Santra</t>
  </si>
  <si>
    <t>Date: 16/06/2026</t>
  </si>
  <si>
    <t>Type: TURP + Ward</t>
  </si>
  <si>
    <t>Pulse Oximeter (per use)</t>
  </si>
  <si>
    <t>SL97 — MRP missing, enter manually</t>
  </si>
  <si>
    <t>Inj. T-Tet (Tetanus)</t>
  </si>
  <si>
    <t>SL42 / Inj. T-Tet (Tetanus Toxoid)</t>
  </si>
  <si>
    <t>⚠ 2 item(s) without MRP: Cap + Mask Set | Pulse Oximeter (per use)</t>
  </si>
  <si>
    <t>Patient: Md. Saiful Islam</t>
  </si>
  <si>
    <t>Date: 18/06/2026</t>
  </si>
  <si>
    <t>Type: Local OT + Ward</t>
  </si>
  <si>
    <t>Inj. Lox 2% (Lignocaine)</t>
  </si>
  <si>
    <t>SL14 / Inj. Lox 2% Jelly (Lignocaine)</t>
  </si>
  <si>
    <t>Patient: Depanita Sankar</t>
  </si>
  <si>
    <t>Date: 21/06/2026</t>
  </si>
  <si>
    <t>Type: Rt Femur Fracture Fixation + Ward</t>
  </si>
  <si>
    <t>O2 (4 hours)</t>
  </si>
  <si>
    <t>IV Cannula 22G</t>
  </si>
  <si>
    <t>SL46 / IV Cannula 22G</t>
  </si>
  <si>
    <t>Inj. Tramadol 2ml</t>
  </si>
  <si>
    <t>SL6 / D5 500ml — Dextrose 5%</t>
  </si>
  <si>
    <t>⚠ 1 item(s) without MRP: O2 (4 hours)</t>
  </si>
  <si>
    <t>Patient: MD Molla</t>
  </si>
  <si>
    <t>Date: 22/06/2026</t>
  </si>
  <si>
    <t>Type: Block OT + Ward</t>
  </si>
  <si>
    <t>Patient: Rachel Hira</t>
  </si>
  <si>
    <t>Doctor: Dr. Rofik Ansari</t>
  </si>
  <si>
    <t>Date: 06/06/2026</t>
  </si>
  <si>
    <t>Type: Piles Surgery</t>
  </si>
  <si>
    <t>Spinal Needle 25G (Spinocaine)</t>
  </si>
  <si>
    <t>SL55 / Spinal Needle 25G (Spinocan)</t>
  </si>
  <si>
    <t>SL40 / Inj. Pause 500mg (Tranexamic Acid)</t>
  </si>
  <si>
    <t>SL1 / NS 500ml — OT ×1 + Ward ×2</t>
  </si>
  <si>
    <t>SL56 / Syringe 10cc — OT ×1 + Ward ×1</t>
  </si>
  <si>
    <t>SL57 / Syringe 5cc — OT ×1 + Ward ×1</t>
  </si>
  <si>
    <t>Inj. Metrogyl 100ml</t>
  </si>
  <si>
    <t xml:space="preserve">SL20 / Inj. Metrogyl 100ml (Metronidazole </t>
  </si>
  <si>
    <t>Inj. Dynapar AQ 2ml</t>
  </si>
  <si>
    <t>✓ OT/Ward split as per OT consumable list &amp; ward indent dated 06/06/2026</t>
  </si>
  <si>
    <t>Patient: Raju Mondal</t>
  </si>
  <si>
    <t>Date: 26/06/2026</t>
  </si>
  <si>
    <t>Type: Spinal Surgery (Mediclaim)</t>
  </si>
  <si>
    <t>Inj. Anawin Heavy 0.75% (Spinocaine 23G)</t>
  </si>
  <si>
    <t>Mediclaim bill</t>
  </si>
  <si>
    <t>Inj. Lox 2% Jelly (Lignocaine)</t>
  </si>
  <si>
    <t>OT Mop / Abd. Swab</t>
  </si>
  <si>
    <t>Gloves 7.0 Sterile Surgical</t>
  </si>
  <si>
    <t>Surgical Blade No. 11</t>
  </si>
  <si>
    <t>Spirit / Isopropyl Alcohol</t>
  </si>
  <si>
    <t>Cap + Mask Set (Disposable)</t>
  </si>
  <si>
    <t>⚠ MRP Missing</t>
  </si>
  <si>
    <t>NS 500ml — Normal Saline</t>
  </si>
  <si>
    <t>Inj. Xone 1g / Monocef (Ceftriaxone)</t>
  </si>
  <si>
    <t>Inj. Rantac (Ranitidine) 2ml</t>
  </si>
  <si>
    <t>IV Set / Sangoflex</t>
  </si>
  <si>
    <t>IV Cannula 20G (Kitkath/Venflon)</t>
  </si>
  <si>
    <t>Easyfix (Adhesive Film Dressing)</t>
  </si>
  <si>
    <t>Uro Bag (Urinary Drainage Bag)</t>
  </si>
  <si>
    <t>2 Day(s) × ₹3,000</t>
  </si>
  <si>
    <t xml:space="preserve">  SECTION E — PROFESSIONAL FEES &amp; INVESTIGATIONS</t>
  </si>
  <si>
    <t>Surgeon Fees — Dr. S. Gupta</t>
  </si>
  <si>
    <t>Anaesthetist Fees</t>
  </si>
  <si>
    <t>CBG / Blood Glucose Test (Glucostrip)</t>
  </si>
  <si>
    <t>Pulse Oximeter (per use charge)</t>
  </si>
  <si>
    <t>Cardiac Monitor (per use charge)</t>
  </si>
  <si>
    <t xml:space="preserve">  Subtotal — Fees &amp; Investigations</t>
  </si>
  <si>
    <t>⚠ 1 item(s) without MRP: Cap + Mask Set (Disposable)</t>
  </si>
  <si>
    <t xml:space="preserve">Inj. Anawin Heavy 4ml 0.5% </t>
  </si>
  <si>
    <t>Fortwin 30 mg</t>
  </si>
  <si>
    <t xml:space="preserve">Inj Termin 30 mg </t>
  </si>
  <si>
    <t xml:space="preserve">Dynapar AQ 75 mg </t>
  </si>
  <si>
    <t xml:space="preserve">K-Nat </t>
  </si>
  <si>
    <t>Jonac 100</t>
  </si>
  <si>
    <t xml:space="preserve">Misprost 200 mg </t>
  </si>
  <si>
    <t xml:space="preserve">T Bact </t>
  </si>
  <si>
    <t>Spinocan 25</t>
  </si>
  <si>
    <t>Feeding Tube 6 no</t>
  </si>
  <si>
    <t xml:space="preserve">Roller Bandage 6" </t>
  </si>
  <si>
    <t xml:space="preserve">Suture </t>
  </si>
  <si>
    <t xml:space="preserve">Moly Sheet </t>
  </si>
  <si>
    <t xml:space="preserve">Inj. Campuse 2 ml </t>
  </si>
  <si>
    <t>Patient: Asish Roy  Chaudhary</t>
  </si>
  <si>
    <t>Date: 23/04/2026</t>
  </si>
  <si>
    <t xml:space="preserve">Total Cost: </t>
  </si>
  <si>
    <t>Patient: Chintapalli Vishal Ratlam</t>
  </si>
  <si>
    <t>Patient: Soumen Banerjee</t>
  </si>
  <si>
    <t>Patient: Mohammedal Hassen</t>
  </si>
  <si>
    <t>Debdatta Sarkar</t>
  </si>
  <si>
    <t>30/4/2026</t>
  </si>
  <si>
    <t>Patient: Debdatta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</si>
</sst>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  <font>
      <i/>
      <sz val="9"/>
      <color rgb="FFC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3" fillId="3" borderId="1" xfId="0" applyFont="1" applyFill="1" applyBorder="1" applyAlignment="1">
      <alignment vertical="center" wrapText="1"/>
    </xf>
    <xf numFmtId="0" fontId="0" fillId="6" borderId="1" xfId="0" applyFill="1" applyBorder="1"/>
    <xf numFmtId="4" fontId="0" fillId="6" borderId="1" xfId="0" applyNumberFormat="1" applyFill="1" applyBorder="1"/>
    <xf numFmtId="0" fontId="0" fillId="0" borderId="1" xfId="0" applyBorder="1"/>
    <xf numFmtId="4" fontId="0" fillId="0" borderId="1" xfId="0" applyNumberFormat="1" applyBorder="1"/>
    <xf numFmtId="0" fontId="3" fillId="2" borderId="0" xfId="0" applyFont="1" applyFill="1"/>
    <xf numFmtId="0" fontId="0" fillId="2" borderId="0" xfId="0" applyFill="1"/>
    <xf numFmtId="4" fontId="3" fillId="2" borderId="0" xfId="0" applyNumberFormat="1" applyFont="1" applyFill="1"/>
    <xf numFmtId="0" fontId="2" fillId="0" borderId="0" xfId="0" applyFont="1"/>
    <xf numFmtId="0" fontId="2" fillId="4" borderId="1" xfId="0" applyFont="1" applyFill="1" applyBorder="1"/>
    <xf numFmtId="4" fontId="2" fillId="5" borderId="0" xfId="0" applyNumberFormat="1" applyFont="1" applyFill="1"/>
    <xf numFmtId="0" fontId="0" fillId="5" borderId="0" xfId="0" applyFill="1"/>
    <xf numFmtId="0" fontId="5" fillId="0" borderId="0" xfId="0" applyFont="1"/>
    <xf numFmtId="0" fontId="3" fillId="2" borderId="0" xfId="0" applyFont="1" applyFill="1"/>
    <xf numFmtId="0" fontId="0" fillId="0" borderId="0" xfId="0"/>
    <xf numFmtId="0" fontId="4" fillId="0" borderId="0" xfId="0" applyFont="1"/>
    <xf numFmtId="0" fontId="1" fillId="2" borderId="0" xfId="0" applyFont="1" applyFill="1"/>
    <xf numFmtId="0" fontId="2" fillId="5" borderId="0" xfId="0" applyFont="1" applyFill="1"/>
    <xf numFmtId="0" fontId="3" fillId="3" borderId="0" xfId="0" applyFont="1" applyFill="1"/>
    <xf numFmtId="0" fontId="0" fillId="7" borderId="1" xfId="0" applyFill="1" applyBorder="1"/>
    <xf numFmtId="4" fontId="0" fillId="7" borderId="1" xfId="0" applyNumberFormat="1" applyFill="1" applyBorder="1"/>
    <xf numFmtId="0" fontId="0" fillId="7" borderId="0" xfId="0" applyFill="1"/>
    <xf numFmtId="0" fontId="0" fillId="8" borderId="0" xfId="0" applyFill="1"/>
    <xf numFmtId="0" fontId="0" fillId="9" borderId="1" xfId="0" applyFill="1" applyBorder="1"/>
    <xf numFmtId="4" fontId="0" fillId="9" borderId="1" xfId="0" applyNumberFormat="1" applyFill="1" applyBorder="1"/>
    <xf numFmtId="0" fontId="0" fillId="9" borderId="0" xfId="0" applyFill="1"/>
    <xf numFmtId="0" fontId="0" fillId="8" borderId="1" xfId="0" applyFill="1" applyBorder="1"/>
    <xf numFmtId="4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ySplit="4" topLeftCell="A28" activePane="bottomLeft" state="frozen"/>
      <selection pane="bottomLeft" activeCell="J14" sqref="J14"/>
    </sheetView>
  </sheetViews>
  <sheetFormatPr defaultRowHeight="14.5" x14ac:dyDescent="0.35"/>
  <cols>
    <col min="1" max="1" width="4" customWidth="1"/>
    <col min="2" max="2" width="22" customWidth="1"/>
    <col min="3" max="3" width="12" customWidth="1"/>
    <col min="4" max="4" width="26" customWidth="1"/>
    <col min="5" max="6" width="12" customWidth="1"/>
    <col min="7" max="8" width="10" customWidth="1"/>
    <col min="9" max="9" width="12" customWidth="1"/>
    <col min="10" max="10" width="13" customWidth="1"/>
    <col min="11" max="12" width="12" customWidth="1"/>
    <col min="13" max="13" width="9" customWidth="1"/>
  </cols>
  <sheetData>
    <row r="1" spans="1:13" ht="17" x14ac:dyDescent="0.4">
      <c r="A1" s="18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x14ac:dyDescent="0.35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43.5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x14ac:dyDescent="0.35">
      <c r="A5" s="3">
        <v>15</v>
      </c>
      <c r="B5" s="3" t="s">
        <v>38</v>
      </c>
      <c r="C5" s="3" t="s">
        <v>39</v>
      </c>
      <c r="D5" s="3" t="s">
        <v>23</v>
      </c>
      <c r="E5" s="4">
        <v>5084.1499999999996</v>
      </c>
      <c r="F5" s="4">
        <v>5426.61</v>
      </c>
      <c r="G5" s="4">
        <v>1000</v>
      </c>
      <c r="H5" s="4">
        <v>1500</v>
      </c>
      <c r="I5" s="4">
        <v>0</v>
      </c>
      <c r="J5" s="4">
        <v>13010.76</v>
      </c>
      <c r="K5" s="4">
        <v>4775.1899999999996</v>
      </c>
      <c r="L5" s="4">
        <v>8235.57</v>
      </c>
      <c r="M5" s="3">
        <v>4</v>
      </c>
    </row>
    <row r="6" spans="1:13" x14ac:dyDescent="0.35">
      <c r="A6" s="3">
        <v>1</v>
      </c>
      <c r="B6" s="3" t="s">
        <v>15</v>
      </c>
      <c r="C6" s="3" t="s">
        <v>16</v>
      </c>
      <c r="D6" s="3" t="s">
        <v>17</v>
      </c>
      <c r="E6" s="4">
        <v>0</v>
      </c>
      <c r="F6" s="4">
        <v>2321.1</v>
      </c>
      <c r="G6" s="4">
        <v>1000</v>
      </c>
      <c r="H6" s="4">
        <v>1500</v>
      </c>
      <c r="I6" s="4">
        <v>0</v>
      </c>
      <c r="J6" s="4">
        <v>4821.1000000000004</v>
      </c>
      <c r="K6" s="4">
        <v>992.74</v>
      </c>
      <c r="L6" s="4">
        <v>3828.36</v>
      </c>
      <c r="M6" s="3">
        <v>2</v>
      </c>
    </row>
    <row r="7" spans="1:13" s="27" customFormat="1" x14ac:dyDescent="0.35">
      <c r="A7" s="25">
        <v>2</v>
      </c>
      <c r="B7" s="25" t="s">
        <v>18</v>
      </c>
      <c r="C7" s="25" t="s">
        <v>19</v>
      </c>
      <c r="D7" s="25" t="s">
        <v>17</v>
      </c>
      <c r="E7" s="26">
        <v>0</v>
      </c>
      <c r="F7" s="26">
        <v>2168.6999999999998</v>
      </c>
      <c r="G7" s="26">
        <v>1000</v>
      </c>
      <c r="H7" s="26">
        <v>1500</v>
      </c>
      <c r="I7" s="26">
        <v>0</v>
      </c>
      <c r="J7" s="26">
        <v>4668.7</v>
      </c>
      <c r="K7" s="26">
        <v>1009.72</v>
      </c>
      <c r="L7" s="26">
        <v>3658.98</v>
      </c>
      <c r="M7" s="25">
        <v>1</v>
      </c>
    </row>
    <row r="8" spans="1:13" x14ac:dyDescent="0.35">
      <c r="A8" s="3">
        <v>3</v>
      </c>
      <c r="B8" s="3" t="s">
        <v>20</v>
      </c>
      <c r="C8" s="3" t="s">
        <v>19</v>
      </c>
      <c r="D8" s="3" t="s">
        <v>17</v>
      </c>
      <c r="E8" s="4">
        <v>0</v>
      </c>
      <c r="F8" s="4">
        <v>583</v>
      </c>
      <c r="G8" s="4">
        <v>1000</v>
      </c>
      <c r="H8" s="4">
        <v>1500</v>
      </c>
      <c r="I8" s="4">
        <v>0</v>
      </c>
      <c r="J8" s="4">
        <v>3083</v>
      </c>
      <c r="K8" s="4">
        <v>315.02</v>
      </c>
      <c r="L8" s="4">
        <v>2767.98</v>
      </c>
      <c r="M8" s="3">
        <v>1</v>
      </c>
    </row>
    <row r="9" spans="1:13" x14ac:dyDescent="0.35">
      <c r="A9" s="5">
        <v>4</v>
      </c>
      <c r="B9" s="5" t="s">
        <v>21</v>
      </c>
      <c r="C9" s="5" t="s">
        <v>22</v>
      </c>
      <c r="D9" s="5" t="s">
        <v>23</v>
      </c>
      <c r="E9" s="6">
        <v>1007.44</v>
      </c>
      <c r="F9" s="6">
        <v>1965.35</v>
      </c>
      <c r="G9" s="6">
        <v>1000</v>
      </c>
      <c r="H9" s="6">
        <v>1500</v>
      </c>
      <c r="I9" s="6">
        <v>0</v>
      </c>
      <c r="J9" s="6">
        <v>5472.79</v>
      </c>
      <c r="K9" s="6">
        <v>1259.8499999999999</v>
      </c>
      <c r="L9" s="6">
        <v>4212.9399999999996</v>
      </c>
      <c r="M9" s="5">
        <v>0</v>
      </c>
    </row>
    <row r="10" spans="1:13" s="24" customFormat="1" x14ac:dyDescent="0.35">
      <c r="A10" s="28">
        <v>5</v>
      </c>
      <c r="B10" s="28" t="s">
        <v>24</v>
      </c>
      <c r="C10" s="28" t="s">
        <v>25</v>
      </c>
      <c r="D10" s="28" t="s">
        <v>26</v>
      </c>
      <c r="E10" s="29">
        <v>2420.33</v>
      </c>
      <c r="F10" s="29">
        <v>0</v>
      </c>
      <c r="G10" s="29">
        <v>1000</v>
      </c>
      <c r="H10" s="29">
        <v>1500</v>
      </c>
      <c r="I10" s="29">
        <v>0</v>
      </c>
      <c r="J10" s="29">
        <v>4920.33</v>
      </c>
      <c r="K10" s="29">
        <v>810.71</v>
      </c>
      <c r="L10" s="29">
        <v>4109.62</v>
      </c>
      <c r="M10" s="28">
        <v>0</v>
      </c>
    </row>
    <row r="11" spans="1:13" s="23" customFormat="1" x14ac:dyDescent="0.35">
      <c r="A11" s="21">
        <v>6</v>
      </c>
      <c r="B11" s="21" t="s">
        <v>27</v>
      </c>
      <c r="C11" s="21" t="s">
        <v>28</v>
      </c>
      <c r="D11" s="21" t="s">
        <v>17</v>
      </c>
      <c r="E11" s="22">
        <v>0</v>
      </c>
      <c r="F11" s="22">
        <v>948.84</v>
      </c>
      <c r="G11" s="22">
        <v>1000</v>
      </c>
      <c r="H11" s="22">
        <v>1500</v>
      </c>
      <c r="I11" s="22">
        <v>0</v>
      </c>
      <c r="J11" s="22">
        <v>3448.84</v>
      </c>
      <c r="K11" s="22">
        <v>685.38</v>
      </c>
      <c r="L11" s="22">
        <v>2763.46</v>
      </c>
      <c r="M11" s="21">
        <v>1</v>
      </c>
    </row>
    <row r="12" spans="1:13" x14ac:dyDescent="0.35">
      <c r="A12" s="3">
        <v>7</v>
      </c>
      <c r="B12" s="3" t="s">
        <v>29</v>
      </c>
      <c r="C12" s="3" t="s">
        <v>30</v>
      </c>
      <c r="D12" s="3" t="s">
        <v>26</v>
      </c>
      <c r="E12" s="4">
        <v>1707.45</v>
      </c>
      <c r="F12" s="4">
        <v>0</v>
      </c>
      <c r="G12" s="4">
        <v>1000</v>
      </c>
      <c r="H12" s="4">
        <v>1500</v>
      </c>
      <c r="I12" s="4">
        <v>0</v>
      </c>
      <c r="J12" s="4">
        <v>4207.45</v>
      </c>
      <c r="K12" s="4">
        <v>602.79999999999995</v>
      </c>
      <c r="L12" s="4">
        <v>3604.65</v>
      </c>
      <c r="M12" s="3">
        <v>3</v>
      </c>
    </row>
    <row r="13" spans="1:13" x14ac:dyDescent="0.35">
      <c r="A13" s="5">
        <v>8</v>
      </c>
      <c r="B13" s="5" t="s">
        <v>31</v>
      </c>
      <c r="C13" s="5" t="s">
        <v>30</v>
      </c>
      <c r="D13" s="5" t="s">
        <v>26</v>
      </c>
      <c r="E13" s="6">
        <v>574.41999999999996</v>
      </c>
      <c r="F13" s="6">
        <v>0</v>
      </c>
      <c r="G13" s="6">
        <v>1000</v>
      </c>
      <c r="H13" s="6">
        <v>1500</v>
      </c>
      <c r="I13" s="6">
        <v>0</v>
      </c>
      <c r="J13" s="6">
        <v>3074.42</v>
      </c>
      <c r="K13" s="6">
        <v>317.44</v>
      </c>
      <c r="L13" s="6">
        <v>2756.98</v>
      </c>
      <c r="M13" s="5">
        <v>0</v>
      </c>
    </row>
    <row r="14" spans="1:13" x14ac:dyDescent="0.35">
      <c r="A14" s="3">
        <v>9</v>
      </c>
      <c r="B14" s="3" t="s">
        <v>32</v>
      </c>
      <c r="C14" s="3" t="s">
        <v>19</v>
      </c>
      <c r="D14" s="3" t="s">
        <v>17</v>
      </c>
      <c r="E14" s="4">
        <v>0</v>
      </c>
      <c r="F14" s="4">
        <v>579.25</v>
      </c>
      <c r="G14" s="4">
        <v>1000</v>
      </c>
      <c r="H14" s="4">
        <v>1500</v>
      </c>
      <c r="I14" s="4">
        <v>0</v>
      </c>
      <c r="J14" s="4">
        <v>3079.25</v>
      </c>
      <c r="K14" s="4">
        <v>314.55</v>
      </c>
      <c r="L14" s="4">
        <v>2764.7</v>
      </c>
      <c r="M14" s="3">
        <v>1</v>
      </c>
    </row>
    <row r="15" spans="1:13" s="23" customFormat="1" x14ac:dyDescent="0.35">
      <c r="A15" s="21">
        <v>10</v>
      </c>
      <c r="B15" s="21" t="s">
        <v>33</v>
      </c>
      <c r="C15" s="21" t="s">
        <v>34</v>
      </c>
      <c r="D15" s="21" t="s">
        <v>17</v>
      </c>
      <c r="E15" s="22">
        <v>0</v>
      </c>
      <c r="F15" s="22">
        <v>439.25</v>
      </c>
      <c r="G15" s="22">
        <v>1000</v>
      </c>
      <c r="H15" s="22">
        <v>1500</v>
      </c>
      <c r="I15" s="22">
        <v>0</v>
      </c>
      <c r="J15" s="22">
        <v>2939.25</v>
      </c>
      <c r="K15" s="22">
        <v>251.12</v>
      </c>
      <c r="L15" s="22">
        <v>2688.13</v>
      </c>
      <c r="M15" s="21">
        <v>1</v>
      </c>
    </row>
    <row r="16" spans="1:13" x14ac:dyDescent="0.35">
      <c r="A16" s="3">
        <v>11</v>
      </c>
      <c r="B16" s="3" t="s">
        <v>35</v>
      </c>
      <c r="C16" s="3" t="s">
        <v>34</v>
      </c>
      <c r="D16" s="3" t="s">
        <v>23</v>
      </c>
      <c r="E16" s="4">
        <v>3407.15</v>
      </c>
      <c r="F16" s="4">
        <v>2810.62</v>
      </c>
      <c r="G16" s="4">
        <v>1000</v>
      </c>
      <c r="H16" s="4">
        <v>1500</v>
      </c>
      <c r="I16" s="4">
        <v>0</v>
      </c>
      <c r="J16" s="4">
        <v>8717.77</v>
      </c>
      <c r="K16" s="4">
        <v>2548.62</v>
      </c>
      <c r="L16" s="4">
        <v>6169.15</v>
      </c>
      <c r="M16" s="3">
        <v>1</v>
      </c>
    </row>
    <row r="17" spans="1:13" x14ac:dyDescent="0.35">
      <c r="A17" s="5">
        <v>12</v>
      </c>
      <c r="B17" s="5" t="s">
        <v>36</v>
      </c>
      <c r="C17" s="5" t="s">
        <v>34</v>
      </c>
      <c r="D17" s="5" t="s">
        <v>26</v>
      </c>
      <c r="E17" s="6">
        <v>1741.55</v>
      </c>
      <c r="F17" s="6">
        <v>0</v>
      </c>
      <c r="G17" s="6">
        <v>1000</v>
      </c>
      <c r="H17" s="6">
        <v>1500</v>
      </c>
      <c r="I17" s="6">
        <v>0</v>
      </c>
      <c r="J17" s="6">
        <v>4241.55</v>
      </c>
      <c r="K17" s="6">
        <v>719.19</v>
      </c>
      <c r="L17" s="6">
        <v>3522.36</v>
      </c>
      <c r="M17" s="5">
        <v>0</v>
      </c>
    </row>
    <row r="18" spans="1:13" x14ac:dyDescent="0.35">
      <c r="A18" s="3">
        <v>13</v>
      </c>
      <c r="B18" s="3" t="s">
        <v>631</v>
      </c>
      <c r="C18" s="3" t="s">
        <v>632</v>
      </c>
      <c r="D18" s="3" t="s">
        <v>17</v>
      </c>
      <c r="E18" s="4">
        <v>0</v>
      </c>
      <c r="F18" s="4">
        <v>457.3</v>
      </c>
      <c r="G18" s="4">
        <v>1000</v>
      </c>
      <c r="H18" s="4">
        <v>1500</v>
      </c>
      <c r="I18" s="4">
        <v>0</v>
      </c>
      <c r="J18" s="4">
        <v>2957.3</v>
      </c>
      <c r="K18" s="4">
        <v>254.79</v>
      </c>
      <c r="L18" s="4">
        <v>2702.51</v>
      </c>
      <c r="M18" s="3">
        <v>2</v>
      </c>
    </row>
    <row r="19" spans="1:13" x14ac:dyDescent="0.35">
      <c r="A19" s="5">
        <v>14</v>
      </c>
      <c r="B19" s="5" t="s">
        <v>37</v>
      </c>
      <c r="C19" s="5" t="s">
        <v>28</v>
      </c>
      <c r="D19" s="5" t="s">
        <v>26</v>
      </c>
      <c r="E19" s="6">
        <v>1526.78</v>
      </c>
      <c r="F19" s="6">
        <v>0</v>
      </c>
      <c r="G19" s="6">
        <v>1000</v>
      </c>
      <c r="H19" s="6">
        <v>1500</v>
      </c>
      <c r="I19" s="6">
        <v>0</v>
      </c>
      <c r="J19" s="6">
        <v>4026.78</v>
      </c>
      <c r="K19" s="6">
        <v>1005.65</v>
      </c>
      <c r="L19" s="6">
        <v>3021.13</v>
      </c>
      <c r="M19" s="5">
        <v>0</v>
      </c>
    </row>
    <row r="20" spans="1:13" x14ac:dyDescent="0.35">
      <c r="A20" s="5">
        <v>16</v>
      </c>
      <c r="B20" s="5" t="s">
        <v>40</v>
      </c>
      <c r="C20" s="5" t="s">
        <v>41</v>
      </c>
      <c r="D20" s="5" t="s">
        <v>42</v>
      </c>
      <c r="E20" s="6">
        <v>436.25</v>
      </c>
      <c r="F20" s="6">
        <v>667.86</v>
      </c>
      <c r="G20" s="6">
        <v>1000</v>
      </c>
      <c r="H20" s="6">
        <v>1000</v>
      </c>
      <c r="I20" s="6">
        <v>0</v>
      </c>
      <c r="J20" s="6">
        <v>3104.11</v>
      </c>
      <c r="K20" s="5"/>
      <c r="L20" s="5"/>
      <c r="M20" s="5">
        <v>1</v>
      </c>
    </row>
    <row r="21" spans="1:13" x14ac:dyDescent="0.35">
      <c r="A21" s="3">
        <v>17</v>
      </c>
      <c r="B21" s="3" t="s">
        <v>43</v>
      </c>
      <c r="C21" s="3" t="s">
        <v>44</v>
      </c>
      <c r="D21" s="3" t="s">
        <v>45</v>
      </c>
      <c r="E21" s="4">
        <v>899.44</v>
      </c>
      <c r="F21" s="4">
        <v>694.6</v>
      </c>
      <c r="G21" s="4">
        <v>1000</v>
      </c>
      <c r="H21" s="4">
        <v>4000</v>
      </c>
      <c r="I21" s="4">
        <v>0</v>
      </c>
      <c r="J21" s="4">
        <v>6594.04</v>
      </c>
      <c r="K21" s="3"/>
      <c r="L21" s="3"/>
      <c r="M21" s="3">
        <v>1</v>
      </c>
    </row>
    <row r="22" spans="1:13" x14ac:dyDescent="0.35">
      <c r="A22" s="5">
        <v>18</v>
      </c>
      <c r="B22" s="5" t="s">
        <v>46</v>
      </c>
      <c r="C22" s="5" t="s">
        <v>44</v>
      </c>
      <c r="D22" s="5" t="s">
        <v>47</v>
      </c>
      <c r="E22" s="6">
        <v>1477.72</v>
      </c>
      <c r="F22" s="6">
        <v>6677.98</v>
      </c>
      <c r="G22" s="6">
        <v>6000</v>
      </c>
      <c r="H22" s="6">
        <v>3000</v>
      </c>
      <c r="I22" s="6">
        <v>0</v>
      </c>
      <c r="J22" s="6">
        <v>17155.7</v>
      </c>
      <c r="K22" s="5"/>
      <c r="L22" s="5"/>
      <c r="M22" s="5">
        <v>2</v>
      </c>
    </row>
    <row r="23" spans="1:13" x14ac:dyDescent="0.35">
      <c r="A23" s="3">
        <v>19</v>
      </c>
      <c r="B23" s="3" t="s">
        <v>48</v>
      </c>
      <c r="C23" s="3" t="s">
        <v>49</v>
      </c>
      <c r="D23" s="3" t="s">
        <v>50</v>
      </c>
      <c r="E23" s="4">
        <v>1372.02</v>
      </c>
      <c r="F23" s="4">
        <v>1565.78</v>
      </c>
      <c r="G23" s="4">
        <v>1000</v>
      </c>
      <c r="H23" s="4">
        <v>2000</v>
      </c>
      <c r="I23" s="4">
        <v>0</v>
      </c>
      <c r="J23" s="4">
        <v>5937.8</v>
      </c>
      <c r="K23" s="3"/>
      <c r="L23" s="3"/>
      <c r="M23" s="3">
        <v>0</v>
      </c>
    </row>
    <row r="24" spans="1:13" x14ac:dyDescent="0.35">
      <c r="A24" s="5">
        <v>20</v>
      </c>
      <c r="B24" s="5" t="s">
        <v>51</v>
      </c>
      <c r="C24" s="5" t="s">
        <v>49</v>
      </c>
      <c r="D24" s="5" t="s">
        <v>52</v>
      </c>
      <c r="E24" s="6">
        <v>418.25</v>
      </c>
      <c r="F24" s="6">
        <v>468.6</v>
      </c>
      <c r="G24" s="6">
        <v>1000</v>
      </c>
      <c r="H24" s="6">
        <v>2000</v>
      </c>
      <c r="I24" s="6">
        <v>0</v>
      </c>
      <c r="J24" s="6">
        <v>3886.85</v>
      </c>
      <c r="K24" s="5"/>
      <c r="L24" s="5"/>
      <c r="M24" s="5">
        <v>0</v>
      </c>
    </row>
    <row r="25" spans="1:13" x14ac:dyDescent="0.35">
      <c r="A25" s="3">
        <v>21</v>
      </c>
      <c r="B25" s="3" t="s">
        <v>53</v>
      </c>
      <c r="C25" s="3" t="s">
        <v>54</v>
      </c>
      <c r="D25" s="3" t="s">
        <v>55</v>
      </c>
      <c r="E25" s="4">
        <v>118.13</v>
      </c>
      <c r="F25" s="4">
        <v>260.07</v>
      </c>
      <c r="G25" s="4">
        <v>1000</v>
      </c>
      <c r="H25" s="4">
        <v>1000</v>
      </c>
      <c r="I25" s="4">
        <v>0</v>
      </c>
      <c r="J25" s="4">
        <v>2378.1999999999998</v>
      </c>
      <c r="K25" s="3"/>
      <c r="L25" s="3"/>
      <c r="M25" s="3">
        <v>0</v>
      </c>
    </row>
    <row r="26" spans="1:13" x14ac:dyDescent="0.35">
      <c r="A26" s="5">
        <v>22</v>
      </c>
      <c r="B26" s="5" t="s">
        <v>56</v>
      </c>
      <c r="C26" s="5" t="s">
        <v>54</v>
      </c>
      <c r="D26" s="5" t="s">
        <v>52</v>
      </c>
      <c r="E26" s="6">
        <v>236.25</v>
      </c>
      <c r="F26" s="6">
        <v>532.07000000000005</v>
      </c>
      <c r="G26" s="6">
        <v>2000</v>
      </c>
      <c r="H26" s="6">
        <v>1000</v>
      </c>
      <c r="I26" s="6">
        <v>0</v>
      </c>
      <c r="J26" s="6">
        <v>3768.32</v>
      </c>
      <c r="K26" s="5"/>
      <c r="L26" s="5"/>
      <c r="M26" s="5">
        <v>1</v>
      </c>
    </row>
    <row r="27" spans="1:13" x14ac:dyDescent="0.35">
      <c r="A27" s="3">
        <v>23</v>
      </c>
      <c r="B27" s="3" t="s">
        <v>57</v>
      </c>
      <c r="C27" s="3" t="s">
        <v>58</v>
      </c>
      <c r="D27" s="3" t="s">
        <v>59</v>
      </c>
      <c r="E27" s="4">
        <v>3275.33</v>
      </c>
      <c r="F27" s="4">
        <v>3836.89</v>
      </c>
      <c r="G27" s="4">
        <v>1000</v>
      </c>
      <c r="H27" s="4">
        <v>1000</v>
      </c>
      <c r="I27" s="4">
        <v>0</v>
      </c>
      <c r="J27" s="4">
        <v>9112.2199999999993</v>
      </c>
      <c r="K27" s="3"/>
      <c r="L27" s="3"/>
      <c r="M27" s="3">
        <v>1</v>
      </c>
    </row>
    <row r="28" spans="1:13" x14ac:dyDescent="0.35">
      <c r="A28" s="5">
        <v>24</v>
      </c>
      <c r="B28" s="5" t="s">
        <v>60</v>
      </c>
      <c r="C28" s="5" t="s">
        <v>61</v>
      </c>
      <c r="D28" s="5" t="s">
        <v>62</v>
      </c>
      <c r="E28" s="6">
        <v>909.05</v>
      </c>
      <c r="F28" s="6">
        <v>1469.23</v>
      </c>
      <c r="G28" s="6">
        <v>2000</v>
      </c>
      <c r="H28" s="6">
        <v>2000</v>
      </c>
      <c r="I28" s="6">
        <v>0</v>
      </c>
      <c r="J28" s="6">
        <v>6378.28</v>
      </c>
      <c r="K28" s="5"/>
      <c r="L28" s="5"/>
      <c r="M28" s="5">
        <v>2</v>
      </c>
    </row>
    <row r="29" spans="1:13" x14ac:dyDescent="0.35">
      <c r="A29" s="3">
        <v>25</v>
      </c>
      <c r="B29" s="3" t="s">
        <v>63</v>
      </c>
      <c r="C29" s="3" t="s">
        <v>64</v>
      </c>
      <c r="D29" s="3" t="s">
        <v>65</v>
      </c>
      <c r="E29" s="4">
        <v>712.2</v>
      </c>
      <c r="F29" s="4">
        <v>1112.18</v>
      </c>
      <c r="G29" s="4">
        <v>1000</v>
      </c>
      <c r="H29" s="4">
        <v>1000</v>
      </c>
      <c r="I29" s="4">
        <v>0</v>
      </c>
      <c r="J29" s="4">
        <v>3824.38</v>
      </c>
      <c r="K29" s="3"/>
      <c r="L29" s="3"/>
      <c r="M29" s="3">
        <v>1</v>
      </c>
    </row>
    <row r="30" spans="1:13" x14ac:dyDescent="0.35">
      <c r="A30" s="5">
        <v>26</v>
      </c>
      <c r="B30" s="5" t="s">
        <v>66</v>
      </c>
      <c r="C30" s="5" t="s">
        <v>67</v>
      </c>
      <c r="D30" s="5" t="s">
        <v>68</v>
      </c>
      <c r="E30" s="6">
        <v>0</v>
      </c>
      <c r="F30" s="6">
        <v>1546.06</v>
      </c>
      <c r="G30" s="6">
        <v>1000</v>
      </c>
      <c r="H30" s="6">
        <v>2000</v>
      </c>
      <c r="I30" s="6">
        <v>0</v>
      </c>
      <c r="J30" s="6">
        <v>4546.0600000000004</v>
      </c>
      <c r="K30" s="5"/>
      <c r="L30" s="5"/>
      <c r="M30" s="5">
        <v>1</v>
      </c>
    </row>
    <row r="31" spans="1:13" x14ac:dyDescent="0.35">
      <c r="A31" s="3">
        <v>27</v>
      </c>
      <c r="B31" s="3" t="s">
        <v>69</v>
      </c>
      <c r="C31" s="3" t="s">
        <v>70</v>
      </c>
      <c r="D31" s="3" t="s">
        <v>71</v>
      </c>
      <c r="E31" s="4">
        <v>0</v>
      </c>
      <c r="F31" s="4">
        <v>804.01</v>
      </c>
      <c r="G31" s="4">
        <v>1000</v>
      </c>
      <c r="H31" s="4">
        <v>1000</v>
      </c>
      <c r="I31" s="4">
        <v>0</v>
      </c>
      <c r="J31" s="4">
        <v>2804.01</v>
      </c>
      <c r="K31" s="3"/>
      <c r="L31" s="3"/>
      <c r="M31" s="3">
        <v>0</v>
      </c>
    </row>
    <row r="32" spans="1:13" x14ac:dyDescent="0.35">
      <c r="A32" s="5">
        <v>28</v>
      </c>
      <c r="B32" s="5" t="s">
        <v>72</v>
      </c>
      <c r="C32" s="5" t="s">
        <v>73</v>
      </c>
      <c r="D32" s="5" t="s">
        <v>74</v>
      </c>
      <c r="E32" s="6">
        <v>1319.48</v>
      </c>
      <c r="F32" s="6">
        <v>1106.08</v>
      </c>
      <c r="G32" s="6">
        <v>1000</v>
      </c>
      <c r="H32" s="6">
        <v>1000</v>
      </c>
      <c r="I32" s="6">
        <v>0</v>
      </c>
      <c r="J32" s="6">
        <v>4425.5600000000004</v>
      </c>
      <c r="K32" s="5"/>
      <c r="L32" s="5"/>
      <c r="M32" s="5">
        <v>0</v>
      </c>
    </row>
    <row r="33" spans="1:13" x14ac:dyDescent="0.35">
      <c r="A33" s="3">
        <v>29</v>
      </c>
      <c r="B33" s="3" t="s">
        <v>75</v>
      </c>
      <c r="C33" s="3" t="s">
        <v>76</v>
      </c>
      <c r="D33" s="3" t="s">
        <v>77</v>
      </c>
      <c r="E33" s="4">
        <v>1891.62</v>
      </c>
      <c r="F33" s="4">
        <v>1799.74</v>
      </c>
      <c r="G33" s="4">
        <v>6000</v>
      </c>
      <c r="H33" s="4">
        <v>7000</v>
      </c>
      <c r="I33" s="4">
        <v>26785</v>
      </c>
      <c r="J33" s="4">
        <v>43476.36</v>
      </c>
      <c r="K33" s="3"/>
      <c r="L33" s="3"/>
      <c r="M33" s="3">
        <v>1</v>
      </c>
    </row>
    <row r="34" spans="1:13" x14ac:dyDescent="0.35">
      <c r="A34" s="15" t="s">
        <v>78</v>
      </c>
      <c r="B34" s="16"/>
      <c r="C34" s="16"/>
      <c r="D34" s="16"/>
      <c r="E34" s="9">
        <v>30535.01</v>
      </c>
      <c r="F34" s="9">
        <v>40241.17</v>
      </c>
      <c r="G34" s="9">
        <v>41000</v>
      </c>
      <c r="H34" s="9">
        <v>51500</v>
      </c>
      <c r="I34" s="9">
        <v>26785</v>
      </c>
      <c r="J34" s="9">
        <v>190061.18</v>
      </c>
      <c r="K34" s="9">
        <v>15862.77</v>
      </c>
      <c r="L34" s="9">
        <v>56806.52</v>
      </c>
      <c r="M34" s="7">
        <v>28</v>
      </c>
    </row>
  </sheetData>
  <autoFilter ref="B4:M33" xr:uid="{00000000-0001-0000-0000-000000000000}"/>
  <mergeCells count="3">
    <mergeCell ref="A34:D34"/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J88"/>
  <sheetViews>
    <sheetView topLeftCell="A40" workbookViewId="0">
      <selection activeCell="B63" sqref="B63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362</v>
      </c>
      <c r="E2" t="s">
        <v>363</v>
      </c>
      <c r="G2" t="s">
        <v>364</v>
      </c>
      <c r="I2" t="s">
        <v>185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611</v>
      </c>
      <c r="C6" s="5" t="s">
        <v>188</v>
      </c>
      <c r="D6" s="5" t="s">
        <v>99</v>
      </c>
      <c r="E6" s="5">
        <v>1</v>
      </c>
      <c r="F6" s="6">
        <v>31.47</v>
      </c>
      <c r="G6" s="6">
        <v>31.47</v>
      </c>
      <c r="H6" s="6">
        <v>24.76</v>
      </c>
      <c r="I6" s="6">
        <v>24.76</v>
      </c>
      <c r="J6" s="5" t="s">
        <v>189</v>
      </c>
    </row>
    <row r="7" spans="1:10" x14ac:dyDescent="0.35">
      <c r="A7" s="5"/>
      <c r="B7" s="5" t="s">
        <v>612</v>
      </c>
      <c r="C7" s="5"/>
      <c r="D7" s="5"/>
      <c r="E7" s="5">
        <v>1</v>
      </c>
      <c r="F7" s="6"/>
      <c r="G7" s="6"/>
      <c r="H7" s="6"/>
      <c r="I7" s="6"/>
      <c r="J7" s="5"/>
    </row>
    <row r="8" spans="1:10" x14ac:dyDescent="0.35">
      <c r="A8" s="5"/>
      <c r="B8" s="5" t="s">
        <v>613</v>
      </c>
      <c r="C8" s="5"/>
      <c r="D8" s="5"/>
      <c r="E8" s="5">
        <v>1</v>
      </c>
      <c r="F8" s="6"/>
      <c r="G8" s="6"/>
      <c r="H8" s="6"/>
      <c r="I8" s="6"/>
      <c r="J8" s="5"/>
    </row>
    <row r="9" spans="1:10" x14ac:dyDescent="0.35">
      <c r="A9" s="5">
        <v>2</v>
      </c>
      <c r="B9" s="5" t="s">
        <v>365</v>
      </c>
      <c r="C9" s="5" t="s">
        <v>366</v>
      </c>
      <c r="D9" s="5" t="s">
        <v>99</v>
      </c>
      <c r="E9" s="5">
        <v>2</v>
      </c>
      <c r="F9" s="6">
        <v>71.97</v>
      </c>
      <c r="G9" s="6">
        <v>143.94</v>
      </c>
      <c r="H9" s="6">
        <v>47.62</v>
      </c>
      <c r="I9" s="6">
        <v>95.24</v>
      </c>
      <c r="J9" s="5" t="s">
        <v>189</v>
      </c>
    </row>
    <row r="10" spans="1:10" x14ac:dyDescent="0.35">
      <c r="A10" s="5">
        <v>3</v>
      </c>
      <c r="B10" s="5" t="s">
        <v>367</v>
      </c>
      <c r="C10" s="5" t="s">
        <v>271</v>
      </c>
      <c r="D10" s="5" t="s">
        <v>99</v>
      </c>
      <c r="E10" s="5">
        <v>1</v>
      </c>
      <c r="F10" s="6">
        <v>37.950000000000003</v>
      </c>
      <c r="G10" s="6">
        <v>37.950000000000003</v>
      </c>
      <c r="H10" s="6">
        <v>27</v>
      </c>
      <c r="I10" s="6">
        <v>27</v>
      </c>
      <c r="J10" s="5" t="s">
        <v>126</v>
      </c>
    </row>
    <row r="11" spans="1:10" x14ac:dyDescent="0.35">
      <c r="A11" s="5">
        <v>4</v>
      </c>
      <c r="B11" s="5" t="s">
        <v>368</v>
      </c>
      <c r="C11" s="5" t="s">
        <v>314</v>
      </c>
      <c r="D11" s="5" t="s">
        <v>99</v>
      </c>
      <c r="E11" s="5">
        <v>1</v>
      </c>
      <c r="F11" s="6">
        <v>31.03</v>
      </c>
      <c r="G11" s="6">
        <v>31.03</v>
      </c>
      <c r="H11" s="6">
        <v>23.81</v>
      </c>
      <c r="I11" s="6">
        <v>23.81</v>
      </c>
      <c r="J11" s="5" t="s">
        <v>189</v>
      </c>
    </row>
    <row r="12" spans="1:10" x14ac:dyDescent="0.35">
      <c r="A12" s="5"/>
      <c r="B12" s="5" t="s">
        <v>614</v>
      </c>
      <c r="C12" s="5"/>
      <c r="D12" s="5"/>
      <c r="E12" s="5">
        <v>1</v>
      </c>
      <c r="F12" s="6"/>
      <c r="G12" s="6"/>
      <c r="H12" s="6"/>
      <c r="I12" s="6"/>
      <c r="J12" s="5"/>
    </row>
    <row r="13" spans="1:10" x14ac:dyDescent="0.35">
      <c r="A13" s="5"/>
      <c r="B13" s="5" t="s">
        <v>615</v>
      </c>
      <c r="C13" s="5"/>
      <c r="D13" s="5"/>
      <c r="E13" s="5">
        <v>1</v>
      </c>
      <c r="F13" s="6"/>
      <c r="G13" s="6"/>
      <c r="H13" s="6"/>
      <c r="I13" s="6"/>
      <c r="J13" s="5"/>
    </row>
    <row r="14" spans="1:10" x14ac:dyDescent="0.35">
      <c r="A14" s="5"/>
      <c r="B14" s="5" t="s">
        <v>616</v>
      </c>
      <c r="C14" s="5"/>
      <c r="D14" s="5"/>
      <c r="E14" s="5">
        <v>1</v>
      </c>
      <c r="F14" s="6"/>
      <c r="G14" s="6"/>
      <c r="H14" s="6"/>
      <c r="I14" s="6"/>
      <c r="J14" s="5"/>
    </row>
    <row r="15" spans="1:10" x14ac:dyDescent="0.35">
      <c r="A15" s="5"/>
      <c r="B15" s="5" t="s">
        <v>617</v>
      </c>
      <c r="C15" s="5"/>
      <c r="D15" s="5"/>
      <c r="E15" s="5">
        <v>3</v>
      </c>
      <c r="F15" s="6"/>
      <c r="G15" s="6"/>
      <c r="H15" s="6"/>
      <c r="I15" s="6"/>
      <c r="J15" s="5"/>
    </row>
    <row r="16" spans="1:10" x14ac:dyDescent="0.35">
      <c r="A16" s="5"/>
      <c r="B16" s="5" t="s">
        <v>618</v>
      </c>
      <c r="C16" s="5"/>
      <c r="D16" s="5"/>
      <c r="E16" s="5">
        <v>1</v>
      </c>
      <c r="F16" s="6"/>
      <c r="G16" s="6"/>
      <c r="H16" s="6"/>
      <c r="I16" s="6"/>
      <c r="J16" s="5"/>
    </row>
    <row r="17" spans="1:10" x14ac:dyDescent="0.35">
      <c r="A17" s="5"/>
      <c r="B17" s="5" t="s">
        <v>619</v>
      </c>
      <c r="C17" s="5"/>
      <c r="D17" s="5"/>
      <c r="E17" s="5">
        <v>1</v>
      </c>
      <c r="F17" s="6"/>
      <c r="G17" s="6"/>
      <c r="H17" s="6"/>
      <c r="I17" s="6"/>
      <c r="J17" s="5"/>
    </row>
    <row r="18" spans="1:10" x14ac:dyDescent="0.35">
      <c r="A18" s="5"/>
      <c r="B18" s="5" t="s">
        <v>298</v>
      </c>
      <c r="C18" s="5"/>
      <c r="D18" s="5"/>
      <c r="E18" s="5">
        <v>3</v>
      </c>
      <c r="F18" s="6"/>
      <c r="G18" s="6"/>
      <c r="H18" s="6"/>
      <c r="I18" s="6"/>
      <c r="J18" s="5"/>
    </row>
    <row r="19" spans="1:10" x14ac:dyDescent="0.35">
      <c r="A19" s="5"/>
      <c r="B19" s="5" t="s">
        <v>296</v>
      </c>
      <c r="C19" s="5"/>
      <c r="D19" s="5"/>
      <c r="E19" s="5">
        <v>1</v>
      </c>
      <c r="F19" s="6"/>
      <c r="G19" s="6"/>
      <c r="H19" s="6"/>
      <c r="I19" s="6"/>
      <c r="J19" s="5"/>
    </row>
    <row r="20" spans="1:10" x14ac:dyDescent="0.35">
      <c r="A20" s="5"/>
      <c r="B20" s="5" t="s">
        <v>620</v>
      </c>
      <c r="C20" s="5"/>
      <c r="D20" s="5"/>
      <c r="E20" s="5">
        <v>1</v>
      </c>
      <c r="F20" s="6"/>
      <c r="G20" s="6"/>
      <c r="H20" s="6"/>
      <c r="I20" s="6"/>
      <c r="J20" s="5"/>
    </row>
    <row r="21" spans="1:10" x14ac:dyDescent="0.35">
      <c r="A21" s="5"/>
      <c r="B21" s="5" t="s">
        <v>621</v>
      </c>
      <c r="C21" s="5"/>
      <c r="D21" s="5"/>
      <c r="E21" s="5">
        <v>1</v>
      </c>
      <c r="F21" s="6"/>
      <c r="G21" s="6"/>
      <c r="H21" s="6"/>
      <c r="I21" s="6"/>
      <c r="J21" s="5"/>
    </row>
    <row r="22" spans="1:10" x14ac:dyDescent="0.35">
      <c r="A22" s="5">
        <v>5</v>
      </c>
      <c r="B22" s="5" t="s">
        <v>369</v>
      </c>
      <c r="C22" s="5" t="s">
        <v>370</v>
      </c>
      <c r="D22" s="5" t="s">
        <v>99</v>
      </c>
      <c r="E22" s="5">
        <v>1</v>
      </c>
      <c r="F22" s="6">
        <v>489.7</v>
      </c>
      <c r="G22" s="6">
        <v>489.7</v>
      </c>
      <c r="H22" s="6">
        <v>342.79</v>
      </c>
      <c r="I22" s="6">
        <v>342.79</v>
      </c>
      <c r="J22" s="5" t="s">
        <v>284</v>
      </c>
    </row>
    <row r="23" spans="1:10" x14ac:dyDescent="0.35">
      <c r="A23" s="5">
        <v>6</v>
      </c>
      <c r="B23" s="5" t="s">
        <v>371</v>
      </c>
      <c r="C23" s="5" t="s">
        <v>372</v>
      </c>
      <c r="D23" s="5" t="s">
        <v>99</v>
      </c>
      <c r="E23" s="5">
        <v>1</v>
      </c>
      <c r="F23" s="6">
        <v>19.03</v>
      </c>
      <c r="G23" s="6">
        <v>19.03</v>
      </c>
      <c r="H23" s="6">
        <v>12.57</v>
      </c>
      <c r="I23" s="6">
        <v>12.57</v>
      </c>
      <c r="J23" s="5" t="s">
        <v>100</v>
      </c>
    </row>
    <row r="24" spans="1:10" x14ac:dyDescent="0.35">
      <c r="A24" s="5">
        <v>7</v>
      </c>
      <c r="B24" s="5" t="s">
        <v>373</v>
      </c>
      <c r="C24" s="5" t="s">
        <v>279</v>
      </c>
      <c r="D24" s="5" t="s">
        <v>99</v>
      </c>
      <c r="E24" s="5">
        <v>5</v>
      </c>
      <c r="F24" s="6">
        <v>91</v>
      </c>
      <c r="G24" s="6">
        <v>455</v>
      </c>
      <c r="H24" s="6">
        <v>19.059999999999999</v>
      </c>
      <c r="I24" s="6">
        <v>95.3</v>
      </c>
      <c r="J24" s="5" t="s">
        <v>123</v>
      </c>
    </row>
    <row r="25" spans="1:10" x14ac:dyDescent="0.35">
      <c r="A25" s="5">
        <v>8</v>
      </c>
      <c r="B25" s="5" t="s">
        <v>374</v>
      </c>
      <c r="C25" s="5" t="s">
        <v>279</v>
      </c>
      <c r="D25" s="5" t="s">
        <v>99</v>
      </c>
      <c r="E25" s="5">
        <v>2</v>
      </c>
      <c r="F25" s="6">
        <v>97</v>
      </c>
      <c r="G25" s="6">
        <v>194</v>
      </c>
      <c r="H25" s="6">
        <v>19.059999999999999</v>
      </c>
      <c r="I25" s="6">
        <v>38.119999999999997</v>
      </c>
      <c r="J25" s="5" t="s">
        <v>126</v>
      </c>
    </row>
    <row r="26" spans="1:10" x14ac:dyDescent="0.35">
      <c r="A26" s="5">
        <v>9</v>
      </c>
      <c r="B26" s="5" t="s">
        <v>375</v>
      </c>
      <c r="C26" s="5" t="s">
        <v>376</v>
      </c>
      <c r="D26" s="5" t="s">
        <v>99</v>
      </c>
      <c r="E26" s="5">
        <v>2</v>
      </c>
      <c r="F26" s="6">
        <v>200</v>
      </c>
      <c r="G26" s="6">
        <v>400</v>
      </c>
      <c r="H26" s="6">
        <v>65</v>
      </c>
      <c r="I26" s="6">
        <v>130</v>
      </c>
      <c r="J26" s="5" t="s">
        <v>377</v>
      </c>
    </row>
    <row r="27" spans="1:10" x14ac:dyDescent="0.35">
      <c r="A27" s="5">
        <v>10</v>
      </c>
      <c r="B27" s="5" t="s">
        <v>169</v>
      </c>
      <c r="C27" s="5" t="s">
        <v>170</v>
      </c>
      <c r="D27" s="5" t="s">
        <v>99</v>
      </c>
      <c r="E27" s="5">
        <v>15</v>
      </c>
      <c r="F27" s="6">
        <v>14</v>
      </c>
      <c r="G27" s="6">
        <v>210</v>
      </c>
      <c r="H27" s="6">
        <v>5.46</v>
      </c>
      <c r="I27" s="6">
        <v>81.900000000000006</v>
      </c>
      <c r="J27" s="5" t="s">
        <v>123</v>
      </c>
    </row>
    <row r="28" spans="1:10" x14ac:dyDescent="0.35">
      <c r="A28" s="5">
        <v>11</v>
      </c>
      <c r="B28" s="5" t="s">
        <v>378</v>
      </c>
      <c r="C28" s="5" t="s">
        <v>379</v>
      </c>
      <c r="D28" s="5" t="s">
        <v>99</v>
      </c>
      <c r="E28" s="5">
        <v>4</v>
      </c>
      <c r="F28" s="6">
        <v>165</v>
      </c>
      <c r="G28" s="6">
        <v>660</v>
      </c>
      <c r="H28" s="6">
        <v>55</v>
      </c>
      <c r="I28" s="6">
        <v>220</v>
      </c>
      <c r="J28" s="5" t="s">
        <v>335</v>
      </c>
    </row>
    <row r="29" spans="1:10" x14ac:dyDescent="0.35">
      <c r="A29" s="5">
        <v>12</v>
      </c>
      <c r="B29" s="5" t="s">
        <v>380</v>
      </c>
      <c r="C29" s="5" t="s">
        <v>381</v>
      </c>
      <c r="D29" s="5" t="s">
        <v>99</v>
      </c>
      <c r="E29" s="5">
        <v>1</v>
      </c>
      <c r="F29" s="6">
        <v>390</v>
      </c>
      <c r="G29" s="6">
        <v>390</v>
      </c>
      <c r="H29" s="6">
        <v>130</v>
      </c>
      <c r="I29" s="6">
        <v>130</v>
      </c>
      <c r="J29" s="5" t="s">
        <v>335</v>
      </c>
    </row>
    <row r="30" spans="1:10" x14ac:dyDescent="0.35">
      <c r="A30" s="5">
        <v>13</v>
      </c>
      <c r="B30" s="5" t="s">
        <v>382</v>
      </c>
      <c r="C30" s="5" t="s">
        <v>383</v>
      </c>
      <c r="D30" s="5" t="s">
        <v>99</v>
      </c>
      <c r="E30" s="5">
        <v>1</v>
      </c>
      <c r="F30" s="6">
        <v>543</v>
      </c>
      <c r="G30" s="6">
        <v>543</v>
      </c>
      <c r="H30" s="6">
        <v>50</v>
      </c>
      <c r="I30" s="6">
        <v>50</v>
      </c>
      <c r="J30" s="5" t="s">
        <v>384</v>
      </c>
    </row>
    <row r="31" spans="1:10" x14ac:dyDescent="0.35">
      <c r="A31" s="5"/>
      <c r="B31" s="5" t="s">
        <v>414</v>
      </c>
      <c r="C31" s="5" t="s">
        <v>622</v>
      </c>
      <c r="D31" s="5"/>
      <c r="E31" s="5">
        <v>1</v>
      </c>
      <c r="F31" s="6"/>
      <c r="G31" s="6"/>
      <c r="H31" s="6"/>
      <c r="I31" s="6"/>
      <c r="J31" s="5"/>
    </row>
    <row r="32" spans="1:10" x14ac:dyDescent="0.35">
      <c r="A32" s="5">
        <v>14</v>
      </c>
      <c r="B32" s="5" t="s">
        <v>385</v>
      </c>
      <c r="C32" s="5" t="s">
        <v>622</v>
      </c>
      <c r="D32" s="5" t="s">
        <v>99</v>
      </c>
      <c r="E32" s="5">
        <v>1</v>
      </c>
      <c r="F32" s="5" t="s">
        <v>129</v>
      </c>
      <c r="G32" s="5" t="s">
        <v>129</v>
      </c>
      <c r="H32" s="5" t="s">
        <v>129</v>
      </c>
      <c r="I32" s="5" t="s">
        <v>129</v>
      </c>
      <c r="J32" s="5" t="s">
        <v>130</v>
      </c>
    </row>
    <row r="33" spans="1:10" x14ac:dyDescent="0.35">
      <c r="A33" s="5">
        <v>15</v>
      </c>
      <c r="B33" s="5" t="s">
        <v>386</v>
      </c>
      <c r="C33" s="5"/>
      <c r="D33" s="5" t="s">
        <v>99</v>
      </c>
      <c r="E33" s="5">
        <v>1</v>
      </c>
      <c r="F33" s="5" t="s">
        <v>129</v>
      </c>
      <c r="G33" s="5" t="s">
        <v>129</v>
      </c>
      <c r="H33" s="5" t="s">
        <v>129</v>
      </c>
      <c r="I33" s="5" t="s">
        <v>129</v>
      </c>
      <c r="J33" s="5" t="s">
        <v>130</v>
      </c>
    </row>
    <row r="34" spans="1:10" x14ac:dyDescent="0.35">
      <c r="A34" s="5"/>
      <c r="B34" s="5" t="s">
        <v>623</v>
      </c>
      <c r="C34" s="5"/>
      <c r="D34" s="5"/>
      <c r="E34" s="5">
        <v>1</v>
      </c>
      <c r="F34" s="5"/>
      <c r="G34" s="5"/>
      <c r="H34" s="5"/>
      <c r="I34" s="5"/>
      <c r="J34" s="5"/>
    </row>
    <row r="35" spans="1:10" x14ac:dyDescent="0.35">
      <c r="A35" s="5">
        <v>16</v>
      </c>
      <c r="B35" s="5" t="s">
        <v>387</v>
      </c>
      <c r="C35" s="5" t="s">
        <v>276</v>
      </c>
      <c r="D35" s="5" t="s">
        <v>99</v>
      </c>
      <c r="E35" s="5">
        <v>1</v>
      </c>
      <c r="F35" s="6">
        <v>750</v>
      </c>
      <c r="G35" s="6">
        <v>750</v>
      </c>
      <c r="H35" s="5" t="s">
        <v>129</v>
      </c>
      <c r="I35" s="5" t="s">
        <v>129</v>
      </c>
      <c r="J35" s="5" t="s">
        <v>388</v>
      </c>
    </row>
    <row r="36" spans="1:10" x14ac:dyDescent="0.35">
      <c r="A36" s="5">
        <v>17</v>
      </c>
      <c r="B36" s="5" t="s">
        <v>389</v>
      </c>
      <c r="C36" s="5" t="s">
        <v>276</v>
      </c>
      <c r="D36" s="5" t="s">
        <v>99</v>
      </c>
      <c r="E36" s="5">
        <v>1</v>
      </c>
      <c r="F36" s="6">
        <v>710</v>
      </c>
      <c r="G36" s="6">
        <v>710</v>
      </c>
      <c r="H36" s="5" t="s">
        <v>129</v>
      </c>
      <c r="I36" s="5" t="s">
        <v>129</v>
      </c>
      <c r="J36" s="5" t="s">
        <v>390</v>
      </c>
    </row>
    <row r="37" spans="1:10" x14ac:dyDescent="0.35">
      <c r="A37" s="5">
        <v>18</v>
      </c>
      <c r="B37" s="5" t="s">
        <v>330</v>
      </c>
      <c r="C37" s="5"/>
      <c r="D37" s="5" t="s">
        <v>99</v>
      </c>
      <c r="E37" s="5">
        <v>1</v>
      </c>
      <c r="F37" s="6">
        <v>19.03</v>
      </c>
      <c r="G37" s="6">
        <v>19.03</v>
      </c>
      <c r="H37" s="6">
        <v>12.57</v>
      </c>
      <c r="I37" s="6">
        <v>12.57</v>
      </c>
      <c r="J37" s="5" t="s">
        <v>100</v>
      </c>
    </row>
    <row r="38" spans="1:10" x14ac:dyDescent="0.35">
      <c r="A38" s="19" t="s">
        <v>95</v>
      </c>
      <c r="B38" s="16"/>
      <c r="C38" s="16"/>
      <c r="D38" s="16"/>
      <c r="E38" s="16"/>
      <c r="F38" s="16"/>
      <c r="G38" s="12">
        <v>5084.1499999999996</v>
      </c>
      <c r="H38" s="13"/>
      <c r="I38" s="12">
        <v>1284.06</v>
      </c>
      <c r="J38" s="13"/>
    </row>
    <row r="40" spans="1:10" x14ac:dyDescent="0.35">
      <c r="A40" s="20" t="s">
        <v>96</v>
      </c>
      <c r="B40" s="16"/>
      <c r="C40" s="16"/>
      <c r="D40" s="16"/>
      <c r="E40" s="16"/>
      <c r="F40" s="16"/>
      <c r="G40" s="16"/>
      <c r="H40" s="16"/>
      <c r="I40" s="16"/>
      <c r="J40" s="16"/>
    </row>
    <row r="41" spans="1:10" x14ac:dyDescent="0.35">
      <c r="A41" s="11" t="s">
        <v>2</v>
      </c>
      <c r="B41" s="11" t="s">
        <v>85</v>
      </c>
      <c r="C41" s="11" t="s">
        <v>86</v>
      </c>
      <c r="D41" s="11" t="s">
        <v>87</v>
      </c>
      <c r="E41" s="11" t="s">
        <v>88</v>
      </c>
      <c r="F41" s="11" t="s">
        <v>89</v>
      </c>
      <c r="G41" s="11" t="s">
        <v>90</v>
      </c>
      <c r="H41" s="11" t="s">
        <v>91</v>
      </c>
      <c r="I41" s="11" t="s">
        <v>92</v>
      </c>
      <c r="J41" s="11" t="s">
        <v>93</v>
      </c>
    </row>
    <row r="42" spans="1:10" x14ac:dyDescent="0.35">
      <c r="A42" s="5">
        <v>1</v>
      </c>
      <c r="B42" s="5" t="s">
        <v>391</v>
      </c>
      <c r="C42" s="5" t="s">
        <v>392</v>
      </c>
      <c r="D42" s="5" t="s">
        <v>99</v>
      </c>
      <c r="E42" s="5">
        <v>1</v>
      </c>
      <c r="F42" s="6">
        <v>200</v>
      </c>
      <c r="G42" s="6">
        <v>200</v>
      </c>
      <c r="H42" s="6">
        <v>140</v>
      </c>
      <c r="I42" s="6">
        <v>140</v>
      </c>
      <c r="J42" s="5" t="s">
        <v>284</v>
      </c>
    </row>
    <row r="43" spans="1:10" x14ac:dyDescent="0.35">
      <c r="A43" s="5">
        <v>2</v>
      </c>
      <c r="B43" s="5" t="s">
        <v>624</v>
      </c>
      <c r="C43" s="5" t="s">
        <v>393</v>
      </c>
      <c r="D43" s="5" t="s">
        <v>99</v>
      </c>
      <c r="E43" s="5">
        <v>1</v>
      </c>
      <c r="F43" s="5" t="s">
        <v>129</v>
      </c>
      <c r="G43" s="5" t="s">
        <v>129</v>
      </c>
      <c r="H43" s="5" t="s">
        <v>129</v>
      </c>
      <c r="I43" s="5" t="s">
        <v>129</v>
      </c>
      <c r="J43" s="5" t="s">
        <v>130</v>
      </c>
    </row>
    <row r="44" spans="1:10" x14ac:dyDescent="0.35">
      <c r="A44" s="5">
        <v>3</v>
      </c>
      <c r="B44" s="5" t="s">
        <v>394</v>
      </c>
      <c r="C44" s="5" t="s">
        <v>192</v>
      </c>
      <c r="D44" s="5" t="s">
        <v>99</v>
      </c>
      <c r="E44" s="5">
        <v>1</v>
      </c>
      <c r="F44" s="6">
        <v>390.4</v>
      </c>
      <c r="G44" s="6">
        <v>390.4</v>
      </c>
      <c r="H44" s="6">
        <v>304.76</v>
      </c>
      <c r="I44" s="6">
        <v>304.76</v>
      </c>
      <c r="J44" s="5" t="s">
        <v>189</v>
      </c>
    </row>
    <row r="45" spans="1:10" x14ac:dyDescent="0.35">
      <c r="A45" s="5">
        <v>4</v>
      </c>
      <c r="B45" s="5" t="s">
        <v>395</v>
      </c>
      <c r="C45" s="5" t="s">
        <v>396</v>
      </c>
      <c r="D45" s="5" t="s">
        <v>99</v>
      </c>
      <c r="E45" s="5">
        <v>1</v>
      </c>
      <c r="F45" s="6">
        <v>23.8</v>
      </c>
      <c r="G45" s="6">
        <v>23.8</v>
      </c>
      <c r="H45" s="6">
        <v>8.57</v>
      </c>
      <c r="I45" s="6">
        <v>8.57</v>
      </c>
      <c r="J45" s="5" t="s">
        <v>238</v>
      </c>
    </row>
    <row r="46" spans="1:10" x14ac:dyDescent="0.35">
      <c r="A46" s="5">
        <v>5</v>
      </c>
      <c r="B46" s="5" t="s">
        <v>397</v>
      </c>
      <c r="C46" s="5" t="s">
        <v>398</v>
      </c>
      <c r="D46" s="5" t="s">
        <v>99</v>
      </c>
      <c r="E46" s="5">
        <v>1</v>
      </c>
      <c r="F46" s="6">
        <v>54</v>
      </c>
      <c r="G46" s="6">
        <v>54</v>
      </c>
      <c r="H46" s="6">
        <v>38.1</v>
      </c>
      <c r="I46" s="6">
        <v>38.1</v>
      </c>
      <c r="J46" s="5" t="s">
        <v>100</v>
      </c>
    </row>
    <row r="47" spans="1:10" x14ac:dyDescent="0.35">
      <c r="A47" s="5">
        <v>6</v>
      </c>
      <c r="B47" s="5" t="s">
        <v>399</v>
      </c>
      <c r="C47" s="5" t="s">
        <v>400</v>
      </c>
      <c r="D47" s="5" t="s">
        <v>99</v>
      </c>
      <c r="E47" s="5">
        <v>1</v>
      </c>
      <c r="F47" s="6">
        <v>23.8</v>
      </c>
      <c r="G47" s="6">
        <v>23.8</v>
      </c>
      <c r="H47" s="6">
        <v>8.57</v>
      </c>
      <c r="I47" s="6">
        <v>8.57</v>
      </c>
      <c r="J47" s="5" t="s">
        <v>238</v>
      </c>
    </row>
    <row r="48" spans="1:10" x14ac:dyDescent="0.35">
      <c r="A48" s="5">
        <v>7</v>
      </c>
      <c r="B48" s="5" t="s">
        <v>401</v>
      </c>
      <c r="C48" s="5" t="s">
        <v>321</v>
      </c>
      <c r="D48" s="5" t="s">
        <v>99</v>
      </c>
      <c r="E48" s="5">
        <v>3</v>
      </c>
      <c r="F48" s="6">
        <v>79.5</v>
      </c>
      <c r="G48" s="6">
        <v>238.5</v>
      </c>
      <c r="H48" s="6">
        <v>59.53</v>
      </c>
      <c r="I48" s="6">
        <v>178.59</v>
      </c>
      <c r="J48" s="5" t="s">
        <v>112</v>
      </c>
    </row>
    <row r="49" spans="1:10" x14ac:dyDescent="0.35">
      <c r="A49" s="5">
        <v>8</v>
      </c>
      <c r="B49" s="5" t="s">
        <v>402</v>
      </c>
      <c r="C49" s="5" t="s">
        <v>403</v>
      </c>
      <c r="D49" s="5" t="s">
        <v>99</v>
      </c>
      <c r="E49" s="5">
        <v>1</v>
      </c>
      <c r="F49" s="6">
        <v>325.08</v>
      </c>
      <c r="G49" s="6">
        <v>325.08</v>
      </c>
      <c r="H49" s="6">
        <v>247.68</v>
      </c>
      <c r="I49" s="6">
        <v>247.68</v>
      </c>
      <c r="J49" s="5" t="s">
        <v>106</v>
      </c>
    </row>
    <row r="50" spans="1:10" x14ac:dyDescent="0.35">
      <c r="A50" s="5">
        <v>9</v>
      </c>
      <c r="B50" s="5" t="s">
        <v>404</v>
      </c>
      <c r="C50" s="5" t="s">
        <v>220</v>
      </c>
      <c r="D50" s="5" t="s">
        <v>99</v>
      </c>
      <c r="E50" s="5">
        <v>1</v>
      </c>
      <c r="F50" s="6">
        <v>153</v>
      </c>
      <c r="G50" s="6">
        <v>153</v>
      </c>
      <c r="H50" s="6">
        <v>74.290000000000006</v>
      </c>
      <c r="I50" s="6">
        <v>74.290000000000006</v>
      </c>
      <c r="J50" s="5" t="s">
        <v>100</v>
      </c>
    </row>
    <row r="51" spans="1:10" x14ac:dyDescent="0.35">
      <c r="A51" s="5">
        <v>10</v>
      </c>
      <c r="B51" s="5" t="s">
        <v>405</v>
      </c>
      <c r="C51" s="5" t="s">
        <v>406</v>
      </c>
      <c r="D51" s="5" t="s">
        <v>99</v>
      </c>
      <c r="E51" s="5">
        <v>1</v>
      </c>
      <c r="F51" s="6">
        <v>60</v>
      </c>
      <c r="G51" s="6">
        <v>60</v>
      </c>
      <c r="H51" s="6">
        <v>11.43</v>
      </c>
      <c r="I51" s="6">
        <v>11.43</v>
      </c>
      <c r="J51" s="5" t="s">
        <v>106</v>
      </c>
    </row>
    <row r="52" spans="1:10" x14ac:dyDescent="0.35">
      <c r="A52" s="5">
        <v>11</v>
      </c>
      <c r="B52" s="5" t="s">
        <v>407</v>
      </c>
      <c r="C52" s="5" t="s">
        <v>408</v>
      </c>
      <c r="D52" s="5" t="s">
        <v>99</v>
      </c>
      <c r="E52" s="5">
        <v>1</v>
      </c>
      <c r="F52" s="6">
        <v>60</v>
      </c>
      <c r="G52" s="6">
        <v>60</v>
      </c>
      <c r="H52" s="6">
        <v>11.43</v>
      </c>
      <c r="I52" s="6">
        <v>11.43</v>
      </c>
      <c r="J52" s="5" t="s">
        <v>106</v>
      </c>
    </row>
    <row r="53" spans="1:10" x14ac:dyDescent="0.35">
      <c r="A53" s="5">
        <v>12</v>
      </c>
      <c r="B53" s="5" t="s">
        <v>409</v>
      </c>
      <c r="C53" s="5" t="s">
        <v>410</v>
      </c>
      <c r="D53" s="5" t="s">
        <v>99</v>
      </c>
      <c r="E53" s="5">
        <v>1</v>
      </c>
      <c r="F53" s="5">
        <v>30</v>
      </c>
      <c r="G53" s="5">
        <v>30</v>
      </c>
      <c r="H53" s="5">
        <v>30</v>
      </c>
      <c r="I53" s="5">
        <v>30</v>
      </c>
      <c r="J53" s="5"/>
    </row>
    <row r="54" spans="1:10" x14ac:dyDescent="0.35">
      <c r="A54" s="5">
        <v>13</v>
      </c>
      <c r="B54" s="5" t="s">
        <v>411</v>
      </c>
      <c r="C54" s="5" t="s">
        <v>316</v>
      </c>
      <c r="D54" s="5" t="s">
        <v>99</v>
      </c>
      <c r="E54" s="5">
        <v>1</v>
      </c>
      <c r="F54" s="6">
        <v>67.5</v>
      </c>
      <c r="G54" s="6">
        <v>67.5</v>
      </c>
      <c r="H54" s="6">
        <v>19.05</v>
      </c>
      <c r="I54" s="6">
        <v>19.05</v>
      </c>
      <c r="J54" s="5" t="s">
        <v>106</v>
      </c>
    </row>
    <row r="55" spans="1:10" x14ac:dyDescent="0.35">
      <c r="A55" s="5">
        <v>14</v>
      </c>
      <c r="B55" s="5" t="s">
        <v>412</v>
      </c>
      <c r="C55" s="5" t="s">
        <v>413</v>
      </c>
      <c r="D55" s="5" t="s">
        <v>99</v>
      </c>
      <c r="E55" s="5">
        <v>1</v>
      </c>
      <c r="F55" s="6">
        <v>302</v>
      </c>
      <c r="G55" s="6">
        <v>302</v>
      </c>
      <c r="H55" s="6">
        <v>188.57</v>
      </c>
      <c r="I55" s="6">
        <v>188.57</v>
      </c>
      <c r="J55" s="5" t="s">
        <v>106</v>
      </c>
    </row>
    <row r="56" spans="1:10" x14ac:dyDescent="0.35">
      <c r="A56" s="5">
        <v>15</v>
      </c>
      <c r="B56" s="5" t="s">
        <v>414</v>
      </c>
      <c r="C56" s="5" t="s">
        <v>415</v>
      </c>
      <c r="D56" s="5" t="s">
        <v>99</v>
      </c>
      <c r="E56" s="5">
        <v>1</v>
      </c>
      <c r="F56" s="6">
        <v>585.94000000000005</v>
      </c>
      <c r="G56" s="6">
        <v>585.94000000000005</v>
      </c>
      <c r="H56" s="6">
        <v>123.81</v>
      </c>
      <c r="I56" s="6">
        <v>123.81</v>
      </c>
      <c r="J56" s="5" t="s">
        <v>199</v>
      </c>
    </row>
    <row r="57" spans="1:10" x14ac:dyDescent="0.35">
      <c r="A57" s="5">
        <v>16</v>
      </c>
      <c r="B57" s="5" t="s">
        <v>416</v>
      </c>
      <c r="C57" s="5" t="s">
        <v>339</v>
      </c>
      <c r="D57" s="5" t="s">
        <v>99</v>
      </c>
      <c r="E57" s="5">
        <v>1</v>
      </c>
      <c r="F57" s="6">
        <v>150</v>
      </c>
      <c r="G57" s="6">
        <v>150</v>
      </c>
      <c r="H57" s="6">
        <v>105</v>
      </c>
      <c r="I57" s="6">
        <v>105</v>
      </c>
      <c r="J57" s="5" t="s">
        <v>340</v>
      </c>
    </row>
    <row r="58" spans="1:10" x14ac:dyDescent="0.35">
      <c r="A58" s="5">
        <v>17</v>
      </c>
      <c r="B58" s="5" t="s">
        <v>298</v>
      </c>
      <c r="C58" s="5"/>
      <c r="D58" s="5" t="s">
        <v>99</v>
      </c>
      <c r="E58" s="5">
        <v>3</v>
      </c>
      <c r="F58" s="6">
        <v>20</v>
      </c>
      <c r="G58" s="6">
        <v>60</v>
      </c>
      <c r="H58" s="6">
        <v>3.76</v>
      </c>
      <c r="I58" s="6">
        <v>11.28</v>
      </c>
      <c r="J58" s="5" t="s">
        <v>106</v>
      </c>
    </row>
    <row r="59" spans="1:10" x14ac:dyDescent="0.35">
      <c r="A59" s="5">
        <v>18</v>
      </c>
      <c r="B59" s="5" t="s">
        <v>166</v>
      </c>
      <c r="C59" s="5"/>
      <c r="D59" s="5" t="s">
        <v>99</v>
      </c>
      <c r="E59" s="5">
        <v>3</v>
      </c>
      <c r="F59" s="6">
        <v>10.23</v>
      </c>
      <c r="G59" s="6">
        <v>30.69</v>
      </c>
      <c r="H59" s="6">
        <v>2.38</v>
      </c>
      <c r="I59" s="6">
        <v>7.14</v>
      </c>
      <c r="J59" s="5" t="s">
        <v>106</v>
      </c>
    </row>
    <row r="60" spans="1:10" x14ac:dyDescent="0.35">
      <c r="A60" s="5">
        <v>19</v>
      </c>
      <c r="B60" s="5" t="s">
        <v>208</v>
      </c>
      <c r="C60" s="5"/>
      <c r="D60" s="5" t="s">
        <v>99</v>
      </c>
      <c r="E60" s="5">
        <v>1</v>
      </c>
      <c r="F60" s="6">
        <v>6.04</v>
      </c>
      <c r="G60" s="6">
        <v>6.04</v>
      </c>
      <c r="H60" s="6">
        <v>1.9</v>
      </c>
      <c r="I60" s="6">
        <v>1.9</v>
      </c>
      <c r="J60" s="5" t="s">
        <v>106</v>
      </c>
    </row>
    <row r="61" spans="1:10" x14ac:dyDescent="0.35">
      <c r="A61" s="5">
        <v>20</v>
      </c>
      <c r="B61" s="5" t="s">
        <v>417</v>
      </c>
      <c r="C61" s="5" t="s">
        <v>196</v>
      </c>
      <c r="D61" s="5" t="s">
        <v>99</v>
      </c>
      <c r="E61" s="5">
        <v>3</v>
      </c>
      <c r="F61" s="6">
        <v>66.64</v>
      </c>
      <c r="G61" s="6">
        <v>199.92</v>
      </c>
      <c r="H61" s="6">
        <v>25.71</v>
      </c>
      <c r="I61" s="6">
        <v>77.13</v>
      </c>
      <c r="J61" s="5" t="s">
        <v>100</v>
      </c>
    </row>
    <row r="62" spans="1:10" x14ac:dyDescent="0.35">
      <c r="A62" s="5">
        <v>21</v>
      </c>
      <c r="B62" s="5" t="s">
        <v>418</v>
      </c>
      <c r="C62" s="5" t="s">
        <v>419</v>
      </c>
      <c r="D62" s="5" t="s">
        <v>99</v>
      </c>
      <c r="E62" s="5">
        <v>4</v>
      </c>
      <c r="F62" s="6">
        <v>22.05</v>
      </c>
      <c r="G62" s="6">
        <v>88.2</v>
      </c>
      <c r="H62" s="6">
        <v>16.190000000000001</v>
      </c>
      <c r="I62" s="6">
        <v>64.760000000000005</v>
      </c>
      <c r="J62" s="5" t="s">
        <v>100</v>
      </c>
    </row>
    <row r="63" spans="1:10" x14ac:dyDescent="0.35">
      <c r="A63" s="5">
        <v>22</v>
      </c>
      <c r="B63" s="5" t="s">
        <v>541</v>
      </c>
      <c r="C63" s="5" t="s">
        <v>355</v>
      </c>
      <c r="D63" s="5" t="s">
        <v>99</v>
      </c>
      <c r="E63" s="5">
        <v>3</v>
      </c>
      <c r="F63" s="6"/>
      <c r="G63" s="6"/>
      <c r="H63" s="6"/>
      <c r="I63" s="6"/>
      <c r="J63" s="5"/>
    </row>
    <row r="64" spans="1:10" x14ac:dyDescent="0.35">
      <c r="A64" s="5">
        <v>23</v>
      </c>
      <c r="B64" s="5" t="s">
        <v>236</v>
      </c>
      <c r="C64" s="5" t="s">
        <v>396</v>
      </c>
      <c r="D64" s="5" t="s">
        <v>99</v>
      </c>
      <c r="E64" s="5">
        <v>3</v>
      </c>
      <c r="F64" s="6">
        <v>23.8</v>
      </c>
      <c r="G64" s="6">
        <v>71.400000000000006</v>
      </c>
      <c r="H64" s="6">
        <v>8.57</v>
      </c>
      <c r="I64" s="6">
        <v>25.71</v>
      </c>
      <c r="J64" s="5"/>
    </row>
    <row r="65" spans="1:10" x14ac:dyDescent="0.35">
      <c r="A65" s="5">
        <v>24</v>
      </c>
      <c r="B65" s="5" t="s">
        <v>234</v>
      </c>
      <c r="C65" s="5" t="s">
        <v>104</v>
      </c>
      <c r="D65" s="5" t="s">
        <v>99</v>
      </c>
      <c r="E65" s="5">
        <v>3</v>
      </c>
      <c r="F65" s="6">
        <v>7.48</v>
      </c>
      <c r="G65" s="6">
        <v>22.44</v>
      </c>
      <c r="H65" s="6">
        <v>4.29</v>
      </c>
      <c r="I65" s="6">
        <v>12.87</v>
      </c>
      <c r="J65" s="5" t="s">
        <v>100</v>
      </c>
    </row>
    <row r="66" spans="1:10" x14ac:dyDescent="0.35">
      <c r="A66" s="5">
        <v>25</v>
      </c>
      <c r="B66" s="5" t="s">
        <v>235</v>
      </c>
      <c r="C66" s="5" t="s">
        <v>102</v>
      </c>
      <c r="D66" s="5" t="s">
        <v>99</v>
      </c>
      <c r="E66" s="5">
        <v>3</v>
      </c>
      <c r="F66" s="6">
        <v>12.72</v>
      </c>
      <c r="G66" s="6">
        <v>38.159999999999997</v>
      </c>
      <c r="H66" s="6">
        <v>4.8499999999999996</v>
      </c>
      <c r="I66" s="6">
        <v>14.55</v>
      </c>
      <c r="J66" s="5" t="s">
        <v>100</v>
      </c>
    </row>
    <row r="67" spans="1:10" x14ac:dyDescent="0.35">
      <c r="A67" s="5">
        <v>26</v>
      </c>
      <c r="B67" s="5" t="s">
        <v>420</v>
      </c>
      <c r="C67" s="5" t="s">
        <v>421</v>
      </c>
      <c r="D67" s="5" t="s">
        <v>99</v>
      </c>
      <c r="E67" s="5">
        <v>1</v>
      </c>
      <c r="F67" s="6">
        <v>17.04</v>
      </c>
      <c r="G67" s="6">
        <v>17.04</v>
      </c>
      <c r="H67" s="6">
        <v>13.26</v>
      </c>
      <c r="I67" s="6">
        <v>13.26</v>
      </c>
      <c r="J67" s="5" t="s">
        <v>100</v>
      </c>
    </row>
    <row r="68" spans="1:10" x14ac:dyDescent="0.35">
      <c r="A68" s="5">
        <v>27</v>
      </c>
      <c r="B68" s="5" t="s">
        <v>137</v>
      </c>
      <c r="C68" s="5"/>
      <c r="D68" s="5" t="s">
        <v>99</v>
      </c>
      <c r="E68" s="5">
        <v>1</v>
      </c>
      <c r="F68" s="6">
        <v>201</v>
      </c>
      <c r="G68" s="6">
        <v>201</v>
      </c>
      <c r="H68" s="6">
        <v>10.48</v>
      </c>
      <c r="I68" s="6">
        <v>10.48</v>
      </c>
      <c r="J68" s="5" t="s">
        <v>106</v>
      </c>
    </row>
    <row r="69" spans="1:10" x14ac:dyDescent="0.35">
      <c r="A69" s="5">
        <v>28</v>
      </c>
      <c r="B69" s="5" t="s">
        <v>422</v>
      </c>
      <c r="C69" s="5" t="s">
        <v>202</v>
      </c>
      <c r="D69" s="5" t="s">
        <v>99</v>
      </c>
      <c r="E69" s="5">
        <v>1</v>
      </c>
      <c r="F69" s="6">
        <v>321</v>
      </c>
      <c r="G69" s="6">
        <v>321</v>
      </c>
      <c r="H69" s="6">
        <v>55</v>
      </c>
      <c r="I69" s="6">
        <v>55</v>
      </c>
      <c r="J69" s="5" t="s">
        <v>133</v>
      </c>
    </row>
    <row r="70" spans="1:10" x14ac:dyDescent="0.35">
      <c r="A70" s="5">
        <v>29</v>
      </c>
      <c r="B70" s="5" t="s">
        <v>134</v>
      </c>
      <c r="C70" s="5" t="s">
        <v>135</v>
      </c>
      <c r="D70" s="5" t="s">
        <v>99</v>
      </c>
      <c r="E70" s="5">
        <v>1</v>
      </c>
      <c r="F70" s="6">
        <v>5</v>
      </c>
      <c r="G70" s="6">
        <v>5</v>
      </c>
      <c r="H70" s="6">
        <v>300</v>
      </c>
      <c r="I70" s="6">
        <v>300</v>
      </c>
      <c r="J70" s="5" t="s">
        <v>136</v>
      </c>
    </row>
    <row r="71" spans="1:10" x14ac:dyDescent="0.35">
      <c r="A71" s="5">
        <v>30</v>
      </c>
      <c r="B71" s="5" t="s">
        <v>114</v>
      </c>
      <c r="C71" s="5" t="s">
        <v>115</v>
      </c>
      <c r="D71" s="5" t="s">
        <v>99</v>
      </c>
      <c r="E71" s="5">
        <v>3</v>
      </c>
      <c r="F71" s="6">
        <v>39.049999999999997</v>
      </c>
      <c r="G71" s="6">
        <v>117.15</v>
      </c>
      <c r="H71" s="6">
        <v>16.670000000000002</v>
      </c>
      <c r="I71" s="6">
        <v>50.01</v>
      </c>
      <c r="J71" s="5" t="s">
        <v>100</v>
      </c>
    </row>
    <row r="72" spans="1:10" x14ac:dyDescent="0.35">
      <c r="A72" s="5">
        <v>31</v>
      </c>
      <c r="B72" s="5" t="s">
        <v>423</v>
      </c>
      <c r="C72" s="5" t="s">
        <v>206</v>
      </c>
      <c r="D72" s="5" t="s">
        <v>99</v>
      </c>
      <c r="E72" s="5">
        <v>1</v>
      </c>
      <c r="F72" s="6">
        <v>63.3</v>
      </c>
      <c r="G72" s="6">
        <v>63.3</v>
      </c>
      <c r="H72" s="6">
        <v>17.62</v>
      </c>
      <c r="I72" s="6">
        <v>17.62</v>
      </c>
      <c r="J72" s="5" t="s">
        <v>100</v>
      </c>
    </row>
    <row r="73" spans="1:10" x14ac:dyDescent="0.35">
      <c r="A73" s="5">
        <v>32</v>
      </c>
      <c r="B73" s="5" t="s">
        <v>424</v>
      </c>
      <c r="C73" s="5" t="s">
        <v>425</v>
      </c>
      <c r="D73" s="5" t="s">
        <v>99</v>
      </c>
      <c r="E73" s="5">
        <v>1</v>
      </c>
      <c r="F73" s="6">
        <v>42.8</v>
      </c>
      <c r="G73" s="6">
        <v>42.8</v>
      </c>
      <c r="H73" s="6">
        <v>17.14</v>
      </c>
      <c r="I73" s="6">
        <v>17.14</v>
      </c>
      <c r="J73" s="5" t="s">
        <v>100</v>
      </c>
    </row>
    <row r="74" spans="1:10" x14ac:dyDescent="0.35">
      <c r="A74" s="5">
        <v>33</v>
      </c>
      <c r="B74" s="5" t="s">
        <v>134</v>
      </c>
      <c r="C74" s="5" t="s">
        <v>135</v>
      </c>
      <c r="D74" s="5" t="s">
        <v>99</v>
      </c>
      <c r="E74" s="5">
        <v>1</v>
      </c>
      <c r="F74" s="6">
        <v>5</v>
      </c>
      <c r="G74" s="6">
        <v>5</v>
      </c>
      <c r="H74" s="6">
        <v>300</v>
      </c>
      <c r="I74" s="6">
        <v>300</v>
      </c>
      <c r="J74" s="5" t="s">
        <v>136</v>
      </c>
    </row>
    <row r="75" spans="1:10" x14ac:dyDescent="0.35">
      <c r="A75" s="19" t="s">
        <v>143</v>
      </c>
      <c r="B75" s="16"/>
      <c r="C75" s="16"/>
      <c r="D75" s="16"/>
      <c r="E75" s="16"/>
      <c r="F75" s="16"/>
      <c r="G75" s="12">
        <f>SUM(G42:G74)</f>
        <v>3953.1600000000003</v>
      </c>
      <c r="H75" s="13"/>
      <c r="I75" s="12">
        <v>3491.13</v>
      </c>
      <c r="J75" s="13"/>
    </row>
    <row r="77" spans="1:10" x14ac:dyDescent="0.35">
      <c r="A77" s="20" t="s">
        <v>144</v>
      </c>
      <c r="B77" s="16"/>
      <c r="C77" s="16"/>
      <c r="D77" s="16"/>
      <c r="E77" s="16"/>
      <c r="F77" s="16"/>
      <c r="G77" s="16"/>
      <c r="H77" s="16"/>
      <c r="I77" s="16"/>
      <c r="J77" s="16"/>
    </row>
    <row r="78" spans="1:10" x14ac:dyDescent="0.35">
      <c r="A78" s="5">
        <v>1</v>
      </c>
      <c r="B78" s="5" t="s">
        <v>145</v>
      </c>
      <c r="C78" s="5" t="s">
        <v>146</v>
      </c>
      <c r="D78" s="5" t="s">
        <v>147</v>
      </c>
      <c r="E78" s="5">
        <v>1</v>
      </c>
      <c r="F78" s="6">
        <v>1000</v>
      </c>
      <c r="G78" s="6">
        <v>1000</v>
      </c>
      <c r="H78" s="5" t="s">
        <v>148</v>
      </c>
      <c r="I78" s="5" t="s">
        <v>148</v>
      </c>
      <c r="J78" s="5" t="s">
        <v>149</v>
      </c>
    </row>
    <row r="79" spans="1:10" x14ac:dyDescent="0.35">
      <c r="A79" s="19" t="s">
        <v>150</v>
      </c>
      <c r="B79" s="16"/>
      <c r="C79" s="16"/>
      <c r="D79" s="16"/>
      <c r="E79" s="16"/>
      <c r="F79" s="16"/>
      <c r="G79" s="12">
        <v>1000</v>
      </c>
      <c r="H79" s="13"/>
      <c r="I79" s="13"/>
      <c r="J79" s="13"/>
    </row>
    <row r="81" spans="1:10" x14ac:dyDescent="0.35">
      <c r="A81" s="20" t="s">
        <v>151</v>
      </c>
      <c r="B81" s="16"/>
      <c r="C81" s="16"/>
      <c r="D81" s="16"/>
      <c r="E81" s="16"/>
      <c r="F81" s="16"/>
      <c r="G81" s="16"/>
      <c r="H81" s="16"/>
      <c r="I81" s="16"/>
      <c r="J81" s="16"/>
    </row>
    <row r="82" spans="1:10" x14ac:dyDescent="0.35">
      <c r="A82" s="5">
        <v>1</v>
      </c>
      <c r="B82" s="5" t="s">
        <v>152</v>
      </c>
      <c r="C82" s="5" t="s">
        <v>153</v>
      </c>
      <c r="D82" s="5" t="s">
        <v>148</v>
      </c>
      <c r="E82" s="5">
        <v>1</v>
      </c>
      <c r="F82" s="6">
        <v>1500</v>
      </c>
      <c r="G82" s="6">
        <v>1500</v>
      </c>
      <c r="H82" s="5" t="s">
        <v>148</v>
      </c>
      <c r="I82" s="5" t="s">
        <v>148</v>
      </c>
      <c r="J82" s="5" t="s">
        <v>149</v>
      </c>
    </row>
    <row r="83" spans="1:10" x14ac:dyDescent="0.35">
      <c r="A83" s="19" t="s">
        <v>154</v>
      </c>
      <c r="B83" s="16"/>
      <c r="C83" s="16"/>
      <c r="D83" s="16"/>
      <c r="E83" s="16"/>
      <c r="F83" s="16"/>
      <c r="G83" s="12">
        <v>1500</v>
      </c>
      <c r="H83" s="13"/>
      <c r="I83" s="13"/>
      <c r="J83" s="13"/>
    </row>
    <row r="85" spans="1:10" x14ac:dyDescent="0.35">
      <c r="A85" s="15" t="s">
        <v>155</v>
      </c>
      <c r="B85" s="16"/>
      <c r="C85" s="16"/>
      <c r="D85" s="16"/>
      <c r="E85" s="16"/>
      <c r="F85" s="16"/>
      <c r="G85" s="9">
        <v>13010.76</v>
      </c>
      <c r="H85" s="7" t="s">
        <v>426</v>
      </c>
      <c r="I85" s="8"/>
      <c r="J85" s="8"/>
    </row>
    <row r="87" spans="1:10" x14ac:dyDescent="0.35">
      <c r="A87" s="1" t="s">
        <v>212</v>
      </c>
    </row>
    <row r="88" spans="1:10" x14ac:dyDescent="0.35">
      <c r="A88" s="14" t="s">
        <v>427</v>
      </c>
    </row>
  </sheetData>
  <mergeCells count="10">
    <mergeCell ref="A38:F38"/>
    <mergeCell ref="A85:F85"/>
    <mergeCell ref="A1:J1"/>
    <mergeCell ref="A81:J81"/>
    <mergeCell ref="A75:F75"/>
    <mergeCell ref="A4:J4"/>
    <mergeCell ref="A40:J40"/>
    <mergeCell ref="A83:F83"/>
    <mergeCell ref="A79:F79"/>
    <mergeCell ref="A77:J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J34"/>
  <sheetViews>
    <sheetView workbookViewId="0">
      <selection activeCell="A3" sqref="A3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629</v>
      </c>
      <c r="E2" t="s">
        <v>81</v>
      </c>
      <c r="G2" t="s">
        <v>232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131</v>
      </c>
      <c r="C6" s="5" t="s">
        <v>132</v>
      </c>
      <c r="D6" s="5" t="s">
        <v>99</v>
      </c>
      <c r="E6" s="5">
        <v>1</v>
      </c>
      <c r="F6" s="6">
        <v>321</v>
      </c>
      <c r="G6" s="6">
        <v>321</v>
      </c>
      <c r="H6" s="6">
        <v>55</v>
      </c>
      <c r="I6" s="6">
        <v>55</v>
      </c>
      <c r="J6" s="5" t="s">
        <v>133</v>
      </c>
    </row>
    <row r="7" spans="1:10" x14ac:dyDescent="0.35">
      <c r="A7" s="5">
        <v>2</v>
      </c>
      <c r="B7" s="5" t="s">
        <v>134</v>
      </c>
      <c r="C7" s="5" t="s">
        <v>135</v>
      </c>
      <c r="D7" s="5" t="s">
        <v>99</v>
      </c>
      <c r="E7" s="5">
        <v>1</v>
      </c>
      <c r="F7" s="6">
        <v>5</v>
      </c>
      <c r="G7" s="6">
        <v>5</v>
      </c>
      <c r="H7" s="6">
        <v>300</v>
      </c>
      <c r="I7" s="6">
        <v>300</v>
      </c>
      <c r="J7" s="5" t="s">
        <v>136</v>
      </c>
    </row>
    <row r="8" spans="1:10" x14ac:dyDescent="0.35">
      <c r="A8" s="5">
        <v>3</v>
      </c>
      <c r="B8" s="5" t="s">
        <v>124</v>
      </c>
      <c r="C8" s="5" t="s">
        <v>125</v>
      </c>
      <c r="D8" s="5" t="s">
        <v>99</v>
      </c>
      <c r="E8" s="5">
        <v>1</v>
      </c>
      <c r="F8" s="6">
        <v>37.950000000000003</v>
      </c>
      <c r="G8" s="6">
        <v>37.950000000000003</v>
      </c>
      <c r="H8" s="6">
        <v>27</v>
      </c>
      <c r="I8" s="6">
        <v>27</v>
      </c>
      <c r="J8" s="5" t="s">
        <v>126</v>
      </c>
    </row>
    <row r="9" spans="1:10" x14ac:dyDescent="0.35">
      <c r="A9" s="5">
        <v>4</v>
      </c>
      <c r="B9" s="5" t="s">
        <v>233</v>
      </c>
      <c r="C9" s="5" t="s">
        <v>196</v>
      </c>
      <c r="D9" s="5" t="s">
        <v>99</v>
      </c>
      <c r="E9" s="5">
        <v>1</v>
      </c>
      <c r="F9" s="6">
        <v>66.64</v>
      </c>
      <c r="G9" s="6">
        <v>66.64</v>
      </c>
      <c r="H9" s="6">
        <v>25.71</v>
      </c>
      <c r="I9" s="6">
        <v>25.71</v>
      </c>
      <c r="J9" s="5" t="s">
        <v>100</v>
      </c>
    </row>
    <row r="10" spans="1:10" x14ac:dyDescent="0.35">
      <c r="A10" s="5">
        <v>5</v>
      </c>
      <c r="B10" s="5" t="s">
        <v>234</v>
      </c>
      <c r="C10" s="5" t="s">
        <v>104</v>
      </c>
      <c r="D10" s="5" t="s">
        <v>99</v>
      </c>
      <c r="E10" s="5">
        <v>1</v>
      </c>
      <c r="F10" s="6">
        <v>7.48</v>
      </c>
      <c r="G10" s="6">
        <v>7.48</v>
      </c>
      <c r="H10" s="6">
        <v>4.29</v>
      </c>
      <c r="I10" s="6">
        <v>4.29</v>
      </c>
      <c r="J10" s="5" t="s">
        <v>100</v>
      </c>
    </row>
    <row r="11" spans="1:10" x14ac:dyDescent="0.35">
      <c r="A11" s="5">
        <v>6</v>
      </c>
      <c r="B11" s="5" t="s">
        <v>235</v>
      </c>
      <c r="C11" s="5" t="s">
        <v>102</v>
      </c>
      <c r="D11" s="5" t="s">
        <v>99</v>
      </c>
      <c r="E11" s="5">
        <v>1</v>
      </c>
      <c r="F11" s="6">
        <v>12.72</v>
      </c>
      <c r="G11" s="6">
        <v>12.72</v>
      </c>
      <c r="H11" s="6">
        <v>4.8499999999999996</v>
      </c>
      <c r="I11" s="6">
        <v>4.8499999999999996</v>
      </c>
      <c r="J11" s="5" t="s">
        <v>100</v>
      </c>
    </row>
    <row r="12" spans="1:10" x14ac:dyDescent="0.35">
      <c r="A12" s="5">
        <v>7</v>
      </c>
      <c r="B12" s="5" t="s">
        <v>236</v>
      </c>
      <c r="C12" s="5" t="s">
        <v>237</v>
      </c>
      <c r="D12" s="5" t="s">
        <v>99</v>
      </c>
      <c r="E12" s="5">
        <v>1</v>
      </c>
      <c r="F12" s="6">
        <v>23.8</v>
      </c>
      <c r="G12" s="6">
        <v>23.8</v>
      </c>
      <c r="H12" s="6">
        <v>8.57</v>
      </c>
      <c r="I12" s="6">
        <v>8.57</v>
      </c>
      <c r="J12" s="5" t="s">
        <v>238</v>
      </c>
    </row>
    <row r="13" spans="1:10" x14ac:dyDescent="0.35">
      <c r="A13" s="5">
        <v>8</v>
      </c>
      <c r="B13" s="5" t="s">
        <v>140</v>
      </c>
      <c r="C13" s="5" t="s">
        <v>141</v>
      </c>
      <c r="D13" s="5" t="s">
        <v>99</v>
      </c>
      <c r="E13" s="5">
        <v>1</v>
      </c>
      <c r="F13" s="6">
        <v>236.25</v>
      </c>
      <c r="G13" s="6">
        <v>236.25</v>
      </c>
      <c r="H13" s="6">
        <v>200</v>
      </c>
      <c r="I13" s="6">
        <v>200</v>
      </c>
      <c r="J13" s="5" t="s">
        <v>106</v>
      </c>
    </row>
    <row r="14" spans="1:10" x14ac:dyDescent="0.35">
      <c r="A14" s="5">
        <v>9</v>
      </c>
      <c r="B14" s="5" t="s">
        <v>169</v>
      </c>
      <c r="C14" s="5" t="s">
        <v>170</v>
      </c>
      <c r="D14" s="5" t="s">
        <v>99</v>
      </c>
      <c r="E14" s="5">
        <v>4</v>
      </c>
      <c r="F14" s="6">
        <v>14</v>
      </c>
      <c r="G14" s="6">
        <v>56</v>
      </c>
      <c r="H14" s="6">
        <v>5.46</v>
      </c>
      <c r="I14" s="6">
        <v>21.84</v>
      </c>
      <c r="J14" s="5" t="s">
        <v>123</v>
      </c>
    </row>
    <row r="15" spans="1:10" x14ac:dyDescent="0.35">
      <c r="A15" s="5">
        <v>10</v>
      </c>
      <c r="B15" s="5" t="s">
        <v>171</v>
      </c>
      <c r="C15" s="5" t="s">
        <v>172</v>
      </c>
      <c r="D15" s="5" t="s">
        <v>99</v>
      </c>
      <c r="E15" s="5">
        <v>2</v>
      </c>
      <c r="F15" s="6">
        <v>91</v>
      </c>
      <c r="G15" s="6">
        <v>182</v>
      </c>
      <c r="H15" s="6">
        <v>19.059999999999999</v>
      </c>
      <c r="I15" s="6">
        <v>38.119999999999997</v>
      </c>
      <c r="J15" s="5" t="s">
        <v>123</v>
      </c>
    </row>
    <row r="16" spans="1:10" x14ac:dyDescent="0.35">
      <c r="A16" s="5">
        <v>11</v>
      </c>
      <c r="B16" s="5" t="s">
        <v>138</v>
      </c>
      <c r="C16" s="5" t="s">
        <v>139</v>
      </c>
      <c r="D16" s="5" t="s">
        <v>99</v>
      </c>
      <c r="E16" s="5">
        <v>5</v>
      </c>
      <c r="F16" s="5">
        <v>20</v>
      </c>
      <c r="G16" s="5">
        <f>F16*E16</f>
        <v>100</v>
      </c>
      <c r="H16" s="5">
        <v>10</v>
      </c>
      <c r="I16" s="5">
        <f>H16*E16</f>
        <v>50</v>
      </c>
      <c r="J16" s="5" t="s">
        <v>130</v>
      </c>
    </row>
    <row r="17" spans="1:10" x14ac:dyDescent="0.35">
      <c r="A17" s="19" t="s">
        <v>95</v>
      </c>
      <c r="B17" s="16"/>
      <c r="C17" s="16"/>
      <c r="D17" s="16"/>
      <c r="E17" s="16"/>
      <c r="F17" s="16"/>
      <c r="G17" s="12">
        <f>SUM(G6:G16)</f>
        <v>1048.8400000000001</v>
      </c>
      <c r="H17" s="13"/>
      <c r="I17" s="12">
        <f>SUM(I6:I16)</f>
        <v>735.38000000000011</v>
      </c>
      <c r="J17" s="13"/>
    </row>
    <row r="19" spans="1:10" x14ac:dyDescent="0.35">
      <c r="A19" s="20" t="s">
        <v>96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5">
      <c r="A20" s="19" t="s">
        <v>143</v>
      </c>
      <c r="B20" s="16"/>
      <c r="C20" s="16"/>
      <c r="D20" s="16"/>
      <c r="E20" s="16"/>
      <c r="F20" s="16"/>
      <c r="G20" s="12">
        <v>948.84</v>
      </c>
      <c r="H20" s="13"/>
      <c r="I20" s="12">
        <v>685.38</v>
      </c>
      <c r="J20" s="13"/>
    </row>
    <row r="21" spans="1:10" x14ac:dyDescent="0.35">
      <c r="B21" t="s">
        <v>94</v>
      </c>
    </row>
    <row r="23" spans="1:10" x14ac:dyDescent="0.35">
      <c r="A23" s="20" t="s">
        <v>144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5">
      <c r="A24" s="5">
        <v>1</v>
      </c>
      <c r="B24" s="5" t="s">
        <v>145</v>
      </c>
      <c r="C24" s="5" t="s">
        <v>146</v>
      </c>
      <c r="D24" s="5" t="s">
        <v>147</v>
      </c>
      <c r="E24" s="5">
        <v>1</v>
      </c>
      <c r="F24" s="6">
        <v>1000</v>
      </c>
      <c r="G24" s="6">
        <v>1000</v>
      </c>
      <c r="H24" s="5" t="s">
        <v>148</v>
      </c>
      <c r="I24" s="5" t="s">
        <v>148</v>
      </c>
      <c r="J24" s="5" t="s">
        <v>149</v>
      </c>
    </row>
    <row r="25" spans="1:10" x14ac:dyDescent="0.35">
      <c r="A25" s="19" t="s">
        <v>150</v>
      </c>
      <c r="B25" s="16"/>
      <c r="C25" s="16"/>
      <c r="D25" s="16"/>
      <c r="E25" s="16"/>
      <c r="F25" s="16"/>
      <c r="G25" s="12">
        <v>1000</v>
      </c>
      <c r="H25" s="13"/>
      <c r="I25" s="13"/>
      <c r="J25" s="13"/>
    </row>
    <row r="27" spans="1:10" x14ac:dyDescent="0.35">
      <c r="A27" s="20" t="s">
        <v>151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35">
      <c r="A28" s="5">
        <v>1</v>
      </c>
      <c r="B28" s="5" t="s">
        <v>152</v>
      </c>
      <c r="C28" s="5" t="s">
        <v>153</v>
      </c>
      <c r="D28" s="5" t="s">
        <v>148</v>
      </c>
      <c r="E28" s="5">
        <v>1</v>
      </c>
      <c r="F28" s="6">
        <v>1500</v>
      </c>
      <c r="G28" s="6">
        <v>1500</v>
      </c>
      <c r="H28" s="5" t="s">
        <v>148</v>
      </c>
      <c r="I28" s="5" t="s">
        <v>148</v>
      </c>
      <c r="J28" s="5" t="s">
        <v>149</v>
      </c>
    </row>
    <row r="29" spans="1:10" x14ac:dyDescent="0.35">
      <c r="A29" s="19" t="s">
        <v>154</v>
      </c>
      <c r="B29" s="16"/>
      <c r="C29" s="16"/>
      <c r="D29" s="16"/>
      <c r="E29" s="16"/>
      <c r="F29" s="16"/>
      <c r="G29" s="12">
        <v>1500</v>
      </c>
      <c r="H29" s="13"/>
      <c r="I29" s="13"/>
      <c r="J29" s="13"/>
    </row>
    <row r="31" spans="1:10" x14ac:dyDescent="0.35">
      <c r="A31" s="15" t="s">
        <v>155</v>
      </c>
      <c r="B31" s="16"/>
      <c r="C31" s="16"/>
      <c r="D31" s="16"/>
      <c r="E31" s="16"/>
      <c r="F31" s="16"/>
      <c r="G31" s="9">
        <v>3448.84</v>
      </c>
      <c r="H31" s="7" t="s">
        <v>239</v>
      </c>
      <c r="I31" s="8"/>
      <c r="J31" s="8"/>
    </row>
    <row r="33" spans="1:1" x14ac:dyDescent="0.35">
      <c r="A33" s="1" t="s">
        <v>157</v>
      </c>
    </row>
    <row r="34" spans="1:1" x14ac:dyDescent="0.35">
      <c r="A34" s="14" t="s">
        <v>178</v>
      </c>
    </row>
  </sheetData>
  <mergeCells count="10">
    <mergeCell ref="A1:J1"/>
    <mergeCell ref="A19:J19"/>
    <mergeCell ref="A31:F31"/>
    <mergeCell ref="A4:J4"/>
    <mergeCell ref="A20:F20"/>
    <mergeCell ref="A23:J23"/>
    <mergeCell ref="A25:F25"/>
    <mergeCell ref="A29:F29"/>
    <mergeCell ref="A27:J27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J46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80</v>
      </c>
      <c r="E2" t="s">
        <v>81</v>
      </c>
      <c r="G2" t="s">
        <v>82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97</v>
      </c>
      <c r="C11" s="5" t="s">
        <v>98</v>
      </c>
      <c r="D11" s="5" t="s">
        <v>99</v>
      </c>
      <c r="E11" s="5">
        <v>1</v>
      </c>
      <c r="F11" s="6">
        <v>66.64</v>
      </c>
      <c r="G11" s="6">
        <v>66.64</v>
      </c>
      <c r="H11" s="6">
        <v>25.71</v>
      </c>
      <c r="I11" s="6">
        <v>25.71</v>
      </c>
      <c r="J11" s="5" t="s">
        <v>100</v>
      </c>
    </row>
    <row r="12" spans="1:10" x14ac:dyDescent="0.35">
      <c r="A12" s="5">
        <v>2</v>
      </c>
      <c r="B12" s="5" t="s">
        <v>101</v>
      </c>
      <c r="C12" s="5" t="s">
        <v>102</v>
      </c>
      <c r="D12" s="5" t="s">
        <v>99</v>
      </c>
      <c r="E12" s="5">
        <v>2</v>
      </c>
      <c r="F12" s="6">
        <v>12.72</v>
      </c>
      <c r="G12" s="6">
        <v>25.44</v>
      </c>
      <c r="H12" s="6">
        <v>4.8499999999999996</v>
      </c>
      <c r="I12" s="6">
        <v>9.6999999999999993</v>
      </c>
      <c r="J12" s="5" t="s">
        <v>100</v>
      </c>
    </row>
    <row r="13" spans="1:10" x14ac:dyDescent="0.35">
      <c r="A13" s="5">
        <v>3</v>
      </c>
      <c r="B13" s="5" t="s">
        <v>103</v>
      </c>
      <c r="C13" s="5" t="s">
        <v>104</v>
      </c>
      <c r="D13" s="5" t="s">
        <v>99</v>
      </c>
      <c r="E13" s="5">
        <v>2</v>
      </c>
      <c r="F13" s="6">
        <v>7.48</v>
      </c>
      <c r="G13" s="6">
        <v>14.96</v>
      </c>
      <c r="H13" s="6">
        <v>4.29</v>
      </c>
      <c r="I13" s="6">
        <v>8.58</v>
      </c>
      <c r="J13" s="5" t="s">
        <v>100</v>
      </c>
    </row>
    <row r="14" spans="1:10" x14ac:dyDescent="0.35">
      <c r="A14" s="5">
        <v>4</v>
      </c>
      <c r="B14" s="5" t="s">
        <v>105</v>
      </c>
      <c r="C14" s="5"/>
      <c r="D14" s="5" t="s">
        <v>99</v>
      </c>
      <c r="E14" s="5">
        <v>3</v>
      </c>
      <c r="F14" s="6">
        <v>10.23</v>
      </c>
      <c r="G14" s="6">
        <v>30.69</v>
      </c>
      <c r="H14" s="6">
        <v>2.38</v>
      </c>
      <c r="I14" s="6">
        <v>7.14</v>
      </c>
      <c r="J14" s="5" t="s">
        <v>106</v>
      </c>
    </row>
    <row r="15" spans="1:10" x14ac:dyDescent="0.35">
      <c r="A15" s="5">
        <v>5</v>
      </c>
      <c r="B15" s="5" t="s">
        <v>107</v>
      </c>
      <c r="C15" s="5"/>
      <c r="D15" s="5" t="s">
        <v>99</v>
      </c>
      <c r="E15" s="5">
        <v>3</v>
      </c>
      <c r="F15" s="6">
        <v>20</v>
      </c>
      <c r="G15" s="6">
        <v>60</v>
      </c>
      <c r="H15" s="6">
        <v>3.76</v>
      </c>
      <c r="I15" s="6">
        <v>11.28</v>
      </c>
      <c r="J15" s="5" t="s">
        <v>106</v>
      </c>
    </row>
    <row r="16" spans="1:10" x14ac:dyDescent="0.35">
      <c r="A16" s="5">
        <v>6</v>
      </c>
      <c r="B16" s="5" t="s">
        <v>108</v>
      </c>
      <c r="C16" s="5"/>
      <c r="D16" s="5" t="s">
        <v>99</v>
      </c>
      <c r="E16" s="5">
        <v>2</v>
      </c>
      <c r="F16" s="6">
        <v>6.04</v>
      </c>
      <c r="G16" s="6">
        <v>12.08</v>
      </c>
      <c r="H16" s="6">
        <v>1.9</v>
      </c>
      <c r="I16" s="6">
        <v>3.8</v>
      </c>
      <c r="J16" s="5" t="s">
        <v>109</v>
      </c>
    </row>
    <row r="17" spans="1:10" x14ac:dyDescent="0.35">
      <c r="A17" s="5">
        <v>7</v>
      </c>
      <c r="B17" s="5" t="s">
        <v>110</v>
      </c>
      <c r="C17" s="5" t="s">
        <v>111</v>
      </c>
      <c r="D17" s="5" t="s">
        <v>99</v>
      </c>
      <c r="E17" s="5">
        <v>1</v>
      </c>
      <c r="F17" s="6">
        <v>62.22</v>
      </c>
      <c r="G17" s="6">
        <v>62.22</v>
      </c>
      <c r="H17" s="6">
        <v>30.48</v>
      </c>
      <c r="I17" s="6">
        <v>30.48</v>
      </c>
      <c r="J17" s="5" t="s">
        <v>112</v>
      </c>
    </row>
    <row r="18" spans="1:10" x14ac:dyDescent="0.35">
      <c r="A18" s="5">
        <v>8</v>
      </c>
      <c r="B18" s="5" t="s">
        <v>97</v>
      </c>
      <c r="C18" s="5" t="s">
        <v>113</v>
      </c>
      <c r="D18" s="5" t="s">
        <v>99</v>
      </c>
      <c r="E18" s="5">
        <v>1</v>
      </c>
      <c r="F18" s="6">
        <v>66.64</v>
      </c>
      <c r="G18" s="6">
        <v>66.64</v>
      </c>
      <c r="H18" s="6">
        <v>25.71</v>
      </c>
      <c r="I18" s="6">
        <v>25.71</v>
      </c>
      <c r="J18" s="5" t="s">
        <v>100</v>
      </c>
    </row>
    <row r="19" spans="1:10" x14ac:dyDescent="0.35">
      <c r="A19" s="5">
        <v>9</v>
      </c>
      <c r="B19" s="5" t="s">
        <v>103</v>
      </c>
      <c r="C19" s="5"/>
      <c r="D19" s="5" t="s">
        <v>99</v>
      </c>
      <c r="E19" s="5">
        <v>2</v>
      </c>
      <c r="F19" s="6">
        <v>7.48</v>
      </c>
      <c r="G19" s="6">
        <v>14.96</v>
      </c>
      <c r="H19" s="6">
        <v>4.29</v>
      </c>
      <c r="I19" s="6">
        <v>8.58</v>
      </c>
      <c r="J19" s="5" t="s">
        <v>100</v>
      </c>
    </row>
    <row r="20" spans="1:10" x14ac:dyDescent="0.35">
      <c r="A20" s="5">
        <v>10</v>
      </c>
      <c r="B20" s="5" t="s">
        <v>114</v>
      </c>
      <c r="C20" s="5" t="s">
        <v>115</v>
      </c>
      <c r="D20" s="5" t="s">
        <v>99</v>
      </c>
      <c r="E20" s="5">
        <v>1</v>
      </c>
      <c r="F20" s="6">
        <v>39.049999999999997</v>
      </c>
      <c r="G20" s="6">
        <v>39.049999999999997</v>
      </c>
      <c r="H20" s="6">
        <v>16.670000000000002</v>
      </c>
      <c r="I20" s="6">
        <v>16.670000000000002</v>
      </c>
      <c r="J20" s="5" t="s">
        <v>100</v>
      </c>
    </row>
    <row r="21" spans="1:10" x14ac:dyDescent="0.35">
      <c r="A21" s="5">
        <v>11</v>
      </c>
      <c r="B21" s="5" t="s">
        <v>116</v>
      </c>
      <c r="C21" s="5" t="s">
        <v>117</v>
      </c>
      <c r="D21" s="5" t="s">
        <v>99</v>
      </c>
      <c r="E21" s="5">
        <v>1</v>
      </c>
      <c r="F21" s="6">
        <v>12.56</v>
      </c>
      <c r="G21" s="6">
        <v>12.56</v>
      </c>
      <c r="H21" s="6">
        <v>4.76</v>
      </c>
      <c r="I21" s="6">
        <v>4.76</v>
      </c>
      <c r="J21" s="5" t="s">
        <v>118</v>
      </c>
    </row>
    <row r="22" spans="1:10" x14ac:dyDescent="0.35">
      <c r="A22" s="5">
        <v>12</v>
      </c>
      <c r="B22" s="5" t="s">
        <v>119</v>
      </c>
      <c r="C22" s="5"/>
      <c r="D22" s="5" t="s">
        <v>99</v>
      </c>
      <c r="E22" s="5">
        <v>1</v>
      </c>
      <c r="F22" s="6">
        <v>21</v>
      </c>
      <c r="G22" s="6">
        <v>21</v>
      </c>
      <c r="H22" s="6">
        <v>13</v>
      </c>
      <c r="I22" s="6">
        <v>13</v>
      </c>
      <c r="J22" s="5" t="s">
        <v>120</v>
      </c>
    </row>
    <row r="23" spans="1:10" x14ac:dyDescent="0.35">
      <c r="A23" s="5">
        <v>13</v>
      </c>
      <c r="B23" s="5" t="s">
        <v>121</v>
      </c>
      <c r="C23" s="5" t="s">
        <v>122</v>
      </c>
      <c r="D23" s="5" t="s">
        <v>99</v>
      </c>
      <c r="E23" s="5">
        <v>6</v>
      </c>
      <c r="F23" s="6">
        <v>91</v>
      </c>
      <c r="G23" s="6">
        <v>546</v>
      </c>
      <c r="H23" s="6">
        <v>19.059999999999999</v>
      </c>
      <c r="I23" s="6">
        <v>114.36</v>
      </c>
      <c r="J23" s="5" t="s">
        <v>123</v>
      </c>
    </row>
    <row r="24" spans="1:10" x14ac:dyDescent="0.35">
      <c r="A24" s="5">
        <v>14</v>
      </c>
      <c r="B24" s="5" t="s">
        <v>124</v>
      </c>
      <c r="C24" s="5" t="s">
        <v>125</v>
      </c>
      <c r="D24" s="5" t="s">
        <v>99</v>
      </c>
      <c r="E24" s="5">
        <v>1</v>
      </c>
      <c r="F24" s="6">
        <v>37.950000000000003</v>
      </c>
      <c r="G24" s="6">
        <v>37.950000000000003</v>
      </c>
      <c r="H24" s="6">
        <v>27</v>
      </c>
      <c r="I24" s="6">
        <v>27</v>
      </c>
      <c r="J24" s="5" t="s">
        <v>126</v>
      </c>
    </row>
    <row r="25" spans="1:10" x14ac:dyDescent="0.35">
      <c r="A25" s="5">
        <v>15</v>
      </c>
      <c r="B25" s="5" t="s">
        <v>110</v>
      </c>
      <c r="C25" s="5"/>
      <c r="D25" s="5" t="s">
        <v>99</v>
      </c>
      <c r="E25" s="5">
        <v>3</v>
      </c>
      <c r="F25" s="6">
        <v>62.22</v>
      </c>
      <c r="G25" s="6">
        <v>186.66</v>
      </c>
      <c r="H25" s="6">
        <v>30.48</v>
      </c>
      <c r="I25" s="6">
        <v>91.44</v>
      </c>
      <c r="J25" s="5" t="s">
        <v>112</v>
      </c>
    </row>
    <row r="26" spans="1:10" x14ac:dyDescent="0.35">
      <c r="A26" s="5">
        <v>16</v>
      </c>
      <c r="B26" s="5" t="s">
        <v>127</v>
      </c>
      <c r="C26" s="5" t="s">
        <v>128</v>
      </c>
      <c r="D26" s="5" t="s">
        <v>99</v>
      </c>
      <c r="E26" s="5">
        <v>1</v>
      </c>
      <c r="F26" s="5" t="s">
        <v>129</v>
      </c>
      <c r="G26" s="5" t="s">
        <v>129</v>
      </c>
      <c r="H26" s="5" t="s">
        <v>129</v>
      </c>
      <c r="I26" s="5" t="s">
        <v>129</v>
      </c>
      <c r="J26" s="5" t="s">
        <v>130</v>
      </c>
    </row>
    <row r="27" spans="1:10" x14ac:dyDescent="0.35">
      <c r="A27" s="5">
        <v>17</v>
      </c>
      <c r="B27" s="5" t="s">
        <v>131</v>
      </c>
      <c r="C27" s="5" t="s">
        <v>132</v>
      </c>
      <c r="D27" s="5" t="s">
        <v>99</v>
      </c>
      <c r="E27" s="5">
        <v>1</v>
      </c>
      <c r="F27" s="6">
        <v>321</v>
      </c>
      <c r="G27" s="6">
        <v>321</v>
      </c>
      <c r="H27" s="6">
        <v>55</v>
      </c>
      <c r="I27" s="6">
        <v>55</v>
      </c>
      <c r="J27" s="5" t="s">
        <v>133</v>
      </c>
    </row>
    <row r="28" spans="1:10" x14ac:dyDescent="0.35">
      <c r="A28" s="5">
        <v>18</v>
      </c>
      <c r="B28" s="5" t="s">
        <v>134</v>
      </c>
      <c r="C28" s="5" t="s">
        <v>135</v>
      </c>
      <c r="D28" s="5" t="s">
        <v>99</v>
      </c>
      <c r="E28" s="5">
        <v>1</v>
      </c>
      <c r="F28" s="6">
        <v>5</v>
      </c>
      <c r="G28" s="6">
        <v>5</v>
      </c>
      <c r="H28" s="6">
        <v>300</v>
      </c>
      <c r="I28" s="6">
        <v>300</v>
      </c>
      <c r="J28" s="5" t="s">
        <v>136</v>
      </c>
    </row>
    <row r="29" spans="1:10" x14ac:dyDescent="0.35">
      <c r="A29" s="5">
        <v>19</v>
      </c>
      <c r="B29" s="5" t="s">
        <v>137</v>
      </c>
      <c r="C29" s="5"/>
      <c r="D29" s="5" t="s">
        <v>99</v>
      </c>
      <c r="E29" s="5">
        <v>1</v>
      </c>
      <c r="F29" s="6">
        <v>201</v>
      </c>
      <c r="G29" s="6">
        <v>201</v>
      </c>
      <c r="H29" s="6">
        <v>10.48</v>
      </c>
      <c r="I29" s="6">
        <v>10.48</v>
      </c>
      <c r="J29" s="5" t="s">
        <v>106</v>
      </c>
    </row>
    <row r="30" spans="1:10" x14ac:dyDescent="0.35">
      <c r="A30" s="5">
        <v>20</v>
      </c>
      <c r="B30" s="5" t="s">
        <v>138</v>
      </c>
      <c r="C30" s="5" t="s">
        <v>139</v>
      </c>
      <c r="D30" s="5" t="s">
        <v>99</v>
      </c>
      <c r="E30" s="5">
        <v>5</v>
      </c>
      <c r="F30" s="5" t="s">
        <v>129</v>
      </c>
      <c r="G30" s="5" t="s">
        <v>129</v>
      </c>
      <c r="H30" s="5" t="s">
        <v>129</v>
      </c>
      <c r="I30" s="5" t="s">
        <v>129</v>
      </c>
      <c r="J30" s="5" t="s">
        <v>130</v>
      </c>
    </row>
    <row r="31" spans="1:10" x14ac:dyDescent="0.35">
      <c r="A31" s="5">
        <v>21</v>
      </c>
      <c r="B31" s="5" t="s">
        <v>140</v>
      </c>
      <c r="C31" s="5" t="s">
        <v>141</v>
      </c>
      <c r="D31" s="5" t="s">
        <v>99</v>
      </c>
      <c r="E31" s="5">
        <v>1</v>
      </c>
      <c r="F31" s="6">
        <v>236.25</v>
      </c>
      <c r="G31" s="6">
        <v>236.25</v>
      </c>
      <c r="H31" s="6">
        <v>200</v>
      </c>
      <c r="I31" s="6">
        <v>200</v>
      </c>
      <c r="J31" s="5" t="s">
        <v>106</v>
      </c>
    </row>
    <row r="32" spans="1:10" x14ac:dyDescent="0.35">
      <c r="A32" s="5">
        <v>22</v>
      </c>
      <c r="B32" s="5" t="s">
        <v>142</v>
      </c>
      <c r="C32" s="5"/>
      <c r="D32" s="5" t="s">
        <v>99</v>
      </c>
      <c r="E32" s="5">
        <v>1</v>
      </c>
      <c r="F32" s="6">
        <v>361</v>
      </c>
      <c r="G32" s="6">
        <v>361</v>
      </c>
      <c r="H32" s="6">
        <v>29.05</v>
      </c>
      <c r="I32" s="6">
        <v>29.05</v>
      </c>
      <c r="J32" s="5" t="s">
        <v>106</v>
      </c>
    </row>
    <row r="33" spans="1:10" x14ac:dyDescent="0.35">
      <c r="A33" s="19" t="s">
        <v>143</v>
      </c>
      <c r="B33" s="16"/>
      <c r="C33" s="16"/>
      <c r="D33" s="16"/>
      <c r="E33" s="16"/>
      <c r="F33" s="16"/>
      <c r="G33" s="12">
        <v>2321.1</v>
      </c>
      <c r="H33" s="13"/>
      <c r="I33" s="12">
        <v>992.74</v>
      </c>
      <c r="J33" s="13"/>
    </row>
    <row r="35" spans="1:10" x14ac:dyDescent="0.35">
      <c r="A35" s="20" t="s">
        <v>144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5">
      <c r="A36" s="5">
        <v>1</v>
      </c>
      <c r="B36" s="5" t="s">
        <v>145</v>
      </c>
      <c r="C36" s="5" t="s">
        <v>146</v>
      </c>
      <c r="D36" s="5" t="s">
        <v>147</v>
      </c>
      <c r="E36" s="5">
        <v>1</v>
      </c>
      <c r="F36" s="6">
        <v>1000</v>
      </c>
      <c r="G36" s="6">
        <v>1000</v>
      </c>
      <c r="H36" s="5" t="s">
        <v>148</v>
      </c>
      <c r="I36" s="5" t="s">
        <v>148</v>
      </c>
      <c r="J36" s="5" t="s">
        <v>149</v>
      </c>
    </row>
    <row r="37" spans="1:10" x14ac:dyDescent="0.35">
      <c r="A37" s="19" t="s">
        <v>150</v>
      </c>
      <c r="B37" s="16"/>
      <c r="C37" s="16"/>
      <c r="D37" s="16"/>
      <c r="E37" s="16"/>
      <c r="F37" s="16"/>
      <c r="G37" s="12">
        <v>1000</v>
      </c>
      <c r="H37" s="13"/>
      <c r="I37" s="13"/>
      <c r="J37" s="13"/>
    </row>
    <row r="39" spans="1:10" x14ac:dyDescent="0.35">
      <c r="A39" s="20" t="s">
        <v>151</v>
      </c>
      <c r="B39" s="16"/>
      <c r="C39" s="16"/>
      <c r="D39" s="16"/>
      <c r="E39" s="16"/>
      <c r="F39" s="16"/>
      <c r="G39" s="16"/>
      <c r="H39" s="16"/>
      <c r="I39" s="16"/>
      <c r="J39" s="16"/>
    </row>
    <row r="40" spans="1:10" x14ac:dyDescent="0.35">
      <c r="A40" s="5">
        <v>1</v>
      </c>
      <c r="B40" s="5" t="s">
        <v>152</v>
      </c>
      <c r="C40" s="5" t="s">
        <v>153</v>
      </c>
      <c r="D40" s="5" t="s">
        <v>148</v>
      </c>
      <c r="E40" s="5">
        <v>1</v>
      </c>
      <c r="F40" s="6">
        <v>1500</v>
      </c>
      <c r="G40" s="6">
        <v>1500</v>
      </c>
      <c r="H40" s="5" t="s">
        <v>148</v>
      </c>
      <c r="I40" s="5" t="s">
        <v>148</v>
      </c>
      <c r="J40" s="5" t="s">
        <v>149</v>
      </c>
    </row>
    <row r="41" spans="1:10" x14ac:dyDescent="0.35">
      <c r="A41" s="19" t="s">
        <v>154</v>
      </c>
      <c r="B41" s="16"/>
      <c r="C41" s="16"/>
      <c r="D41" s="16"/>
      <c r="E41" s="16"/>
      <c r="F41" s="16"/>
      <c r="G41" s="12">
        <v>1500</v>
      </c>
      <c r="H41" s="13"/>
      <c r="I41" s="13"/>
      <c r="J41" s="13"/>
    </row>
    <row r="43" spans="1:10" x14ac:dyDescent="0.35">
      <c r="A43" s="15" t="s">
        <v>155</v>
      </c>
      <c r="B43" s="16"/>
      <c r="C43" s="16"/>
      <c r="D43" s="16"/>
      <c r="E43" s="16"/>
      <c r="F43" s="16"/>
      <c r="G43" s="9">
        <v>4821.1000000000004</v>
      </c>
      <c r="H43" s="7" t="s">
        <v>156</v>
      </c>
      <c r="I43" s="8"/>
      <c r="J43" s="8"/>
    </row>
    <row r="45" spans="1:10" x14ac:dyDescent="0.35">
      <c r="A45" s="1" t="s">
        <v>157</v>
      </c>
    </row>
    <row r="46" spans="1:10" x14ac:dyDescent="0.35">
      <c r="A46" s="14" t="s">
        <v>158</v>
      </c>
    </row>
  </sheetData>
  <mergeCells count="10">
    <mergeCell ref="A43:F43"/>
    <mergeCell ref="A41:F41"/>
    <mergeCell ref="A33:F33"/>
    <mergeCell ref="A1:J1"/>
    <mergeCell ref="A9:J9"/>
    <mergeCell ref="A37:F37"/>
    <mergeCell ref="A39:J39"/>
    <mergeCell ref="A35:J35"/>
    <mergeCell ref="A4:J4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38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159</v>
      </c>
      <c r="E2" t="s">
        <v>81</v>
      </c>
      <c r="G2" t="s">
        <v>160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161</v>
      </c>
      <c r="C11" s="5" t="s">
        <v>162</v>
      </c>
      <c r="D11" s="5" t="s">
        <v>99</v>
      </c>
      <c r="E11" s="5">
        <v>2</v>
      </c>
      <c r="F11" s="6">
        <v>326.22000000000003</v>
      </c>
      <c r="G11" s="6">
        <v>652.44000000000005</v>
      </c>
      <c r="H11" s="6">
        <v>95.24</v>
      </c>
      <c r="I11" s="6">
        <v>190.48</v>
      </c>
      <c r="J11" s="5" t="s">
        <v>106</v>
      </c>
    </row>
    <row r="12" spans="1:10" x14ac:dyDescent="0.35">
      <c r="A12" s="5">
        <v>2</v>
      </c>
      <c r="B12" s="5" t="s">
        <v>137</v>
      </c>
      <c r="C12" s="5"/>
      <c r="D12" s="5" t="s">
        <v>99</v>
      </c>
      <c r="E12" s="5">
        <v>1</v>
      </c>
      <c r="F12" s="6">
        <v>201</v>
      </c>
      <c r="G12" s="6">
        <v>201</v>
      </c>
      <c r="H12" s="6">
        <v>10.48</v>
      </c>
      <c r="I12" s="6">
        <v>10.48</v>
      </c>
      <c r="J12" s="5" t="s">
        <v>106</v>
      </c>
    </row>
    <row r="13" spans="1:10" x14ac:dyDescent="0.35">
      <c r="A13" s="5">
        <v>3</v>
      </c>
      <c r="B13" s="5" t="s">
        <v>163</v>
      </c>
      <c r="C13" s="5"/>
      <c r="D13" s="5" t="s">
        <v>99</v>
      </c>
      <c r="E13" s="5">
        <v>1</v>
      </c>
      <c r="F13" s="6">
        <v>202.55</v>
      </c>
      <c r="G13" s="6">
        <v>202.55</v>
      </c>
      <c r="H13" s="6">
        <v>7.14</v>
      </c>
      <c r="I13" s="6">
        <v>7.14</v>
      </c>
      <c r="J13" s="5" t="s">
        <v>106</v>
      </c>
    </row>
    <row r="14" spans="1:10" x14ac:dyDescent="0.35">
      <c r="A14" s="5">
        <v>4</v>
      </c>
      <c r="B14" s="5" t="s">
        <v>134</v>
      </c>
      <c r="C14" s="5"/>
      <c r="D14" s="5" t="s">
        <v>99</v>
      </c>
      <c r="E14" s="5">
        <v>1</v>
      </c>
      <c r="F14" s="6">
        <v>5</v>
      </c>
      <c r="G14" s="6">
        <v>5</v>
      </c>
      <c r="H14" s="6">
        <v>300</v>
      </c>
      <c r="I14" s="6">
        <v>300</v>
      </c>
      <c r="J14" s="5" t="s">
        <v>136</v>
      </c>
    </row>
    <row r="15" spans="1:10" x14ac:dyDescent="0.35">
      <c r="A15" s="5">
        <v>5</v>
      </c>
      <c r="B15" s="5" t="s">
        <v>164</v>
      </c>
      <c r="C15" s="5"/>
      <c r="D15" s="5" t="s">
        <v>99</v>
      </c>
      <c r="E15" s="5">
        <v>1</v>
      </c>
      <c r="F15" s="6">
        <v>39.049999999999997</v>
      </c>
      <c r="G15" s="6">
        <v>39.049999999999997</v>
      </c>
      <c r="H15" s="6">
        <v>16.670000000000002</v>
      </c>
      <c r="I15" s="6">
        <v>16.670000000000002</v>
      </c>
      <c r="J15" s="5" t="s">
        <v>100</v>
      </c>
    </row>
    <row r="16" spans="1:10" x14ac:dyDescent="0.35">
      <c r="A16" s="5">
        <v>6</v>
      </c>
      <c r="B16" s="5" t="s">
        <v>138</v>
      </c>
      <c r="C16" s="5" t="s">
        <v>139</v>
      </c>
      <c r="D16" s="5" t="s">
        <v>99</v>
      </c>
      <c r="E16" s="5">
        <v>4</v>
      </c>
      <c r="F16" s="5" t="s">
        <v>129</v>
      </c>
      <c r="G16" s="5" t="s">
        <v>129</v>
      </c>
      <c r="H16" s="5" t="s">
        <v>129</v>
      </c>
      <c r="I16" s="5" t="s">
        <v>129</v>
      </c>
      <c r="J16" s="5" t="s">
        <v>130</v>
      </c>
    </row>
    <row r="17" spans="1:10" x14ac:dyDescent="0.35">
      <c r="A17" s="5">
        <v>7</v>
      </c>
      <c r="B17" s="5" t="s">
        <v>165</v>
      </c>
      <c r="C17" s="5"/>
      <c r="D17" s="5" t="s">
        <v>99</v>
      </c>
      <c r="E17" s="5">
        <v>2</v>
      </c>
      <c r="F17" s="6">
        <v>20</v>
      </c>
      <c r="G17" s="6">
        <v>40</v>
      </c>
      <c r="H17" s="6">
        <v>3.76</v>
      </c>
      <c r="I17" s="6">
        <v>7.52</v>
      </c>
      <c r="J17" s="5" t="s">
        <v>106</v>
      </c>
    </row>
    <row r="18" spans="1:10" x14ac:dyDescent="0.35">
      <c r="A18" s="5">
        <v>8</v>
      </c>
      <c r="B18" s="5" t="s">
        <v>166</v>
      </c>
      <c r="C18" s="5"/>
      <c r="D18" s="5" t="s">
        <v>99</v>
      </c>
      <c r="E18" s="5">
        <v>2</v>
      </c>
      <c r="F18" s="6">
        <v>10.23</v>
      </c>
      <c r="G18" s="6">
        <v>20.46</v>
      </c>
      <c r="H18" s="6">
        <v>2.38</v>
      </c>
      <c r="I18" s="6">
        <v>4.76</v>
      </c>
      <c r="J18" s="5" t="s">
        <v>106</v>
      </c>
    </row>
    <row r="19" spans="1:10" x14ac:dyDescent="0.35">
      <c r="A19" s="5">
        <v>9</v>
      </c>
      <c r="B19" s="5" t="s">
        <v>167</v>
      </c>
      <c r="C19" s="5" t="s">
        <v>168</v>
      </c>
      <c r="D19" s="5" t="s">
        <v>99</v>
      </c>
      <c r="E19" s="5">
        <v>1</v>
      </c>
      <c r="F19" s="6">
        <v>37.950000000000003</v>
      </c>
      <c r="G19" s="6">
        <v>37.950000000000003</v>
      </c>
      <c r="H19" s="6">
        <v>27</v>
      </c>
      <c r="I19" s="6">
        <v>27</v>
      </c>
      <c r="J19" s="5" t="s">
        <v>126</v>
      </c>
    </row>
    <row r="20" spans="1:10" x14ac:dyDescent="0.35">
      <c r="A20" s="5">
        <v>10</v>
      </c>
      <c r="B20" s="5" t="s">
        <v>169</v>
      </c>
      <c r="C20" s="5" t="s">
        <v>170</v>
      </c>
      <c r="D20" s="5" t="s">
        <v>99</v>
      </c>
      <c r="E20" s="5">
        <v>4</v>
      </c>
      <c r="F20" s="6">
        <v>14</v>
      </c>
      <c r="G20" s="6">
        <v>56</v>
      </c>
      <c r="H20" s="6">
        <v>5.46</v>
      </c>
      <c r="I20" s="6">
        <v>21.84</v>
      </c>
      <c r="J20" s="5" t="s">
        <v>123</v>
      </c>
    </row>
    <row r="21" spans="1:10" x14ac:dyDescent="0.35">
      <c r="A21" s="5">
        <v>11</v>
      </c>
      <c r="B21" s="5" t="s">
        <v>171</v>
      </c>
      <c r="C21" s="5" t="s">
        <v>172</v>
      </c>
      <c r="D21" s="5" t="s">
        <v>99</v>
      </c>
      <c r="E21" s="5">
        <v>2</v>
      </c>
      <c r="F21" s="6">
        <v>91</v>
      </c>
      <c r="G21" s="6">
        <v>182</v>
      </c>
      <c r="H21" s="6">
        <v>19.059999999999999</v>
      </c>
      <c r="I21" s="6">
        <v>38.119999999999997</v>
      </c>
      <c r="J21" s="5" t="s">
        <v>123</v>
      </c>
    </row>
    <row r="22" spans="1:10" x14ac:dyDescent="0.35">
      <c r="A22" s="5">
        <v>12</v>
      </c>
      <c r="B22" s="5" t="s">
        <v>140</v>
      </c>
      <c r="C22" s="5" t="s">
        <v>141</v>
      </c>
      <c r="D22" s="5" t="s">
        <v>99</v>
      </c>
      <c r="E22" s="5">
        <v>1</v>
      </c>
      <c r="F22" s="6">
        <v>236.25</v>
      </c>
      <c r="G22" s="6">
        <v>236.25</v>
      </c>
      <c r="H22" s="6">
        <v>200</v>
      </c>
      <c r="I22" s="6">
        <v>200</v>
      </c>
      <c r="J22" s="5" t="s">
        <v>106</v>
      </c>
    </row>
    <row r="23" spans="1:10" x14ac:dyDescent="0.35">
      <c r="A23" s="5">
        <v>13</v>
      </c>
      <c r="B23" s="5" t="s">
        <v>173</v>
      </c>
      <c r="C23" s="5" t="s">
        <v>174</v>
      </c>
      <c r="D23" s="5" t="s">
        <v>99</v>
      </c>
      <c r="E23" s="5">
        <v>1</v>
      </c>
      <c r="F23" s="6">
        <v>280</v>
      </c>
      <c r="G23" s="6">
        <v>280</v>
      </c>
      <c r="H23" s="6">
        <v>128.57</v>
      </c>
      <c r="I23" s="6">
        <v>128.57</v>
      </c>
      <c r="J23" s="5" t="s">
        <v>106</v>
      </c>
    </row>
    <row r="24" spans="1:10" x14ac:dyDescent="0.35">
      <c r="A24" s="5">
        <v>14</v>
      </c>
      <c r="B24" s="5" t="s">
        <v>175</v>
      </c>
      <c r="C24" s="5" t="s">
        <v>176</v>
      </c>
      <c r="D24" s="5" t="s">
        <v>99</v>
      </c>
      <c r="E24" s="5">
        <v>1</v>
      </c>
      <c r="F24" s="6">
        <v>216</v>
      </c>
      <c r="G24" s="6">
        <v>216</v>
      </c>
      <c r="H24" s="6">
        <v>57.14</v>
      </c>
      <c r="I24" s="6">
        <v>57.14</v>
      </c>
      <c r="J24" s="5" t="s">
        <v>106</v>
      </c>
    </row>
    <row r="25" spans="1:10" x14ac:dyDescent="0.35">
      <c r="A25" s="19" t="s">
        <v>143</v>
      </c>
      <c r="B25" s="16"/>
      <c r="C25" s="16"/>
      <c r="D25" s="16"/>
      <c r="E25" s="16"/>
      <c r="F25" s="16"/>
      <c r="G25" s="12">
        <v>2168.6999999999998</v>
      </c>
      <c r="H25" s="13"/>
      <c r="I25" s="12">
        <v>1009.72</v>
      </c>
      <c r="J25" s="13"/>
    </row>
    <row r="27" spans="1:10" x14ac:dyDescent="0.35">
      <c r="A27" s="20" t="s">
        <v>144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35">
      <c r="A28" s="5">
        <v>1</v>
      </c>
      <c r="B28" s="5" t="s">
        <v>145</v>
      </c>
      <c r="C28" s="5" t="s">
        <v>146</v>
      </c>
      <c r="D28" s="5" t="s">
        <v>147</v>
      </c>
      <c r="E28" s="5">
        <v>1</v>
      </c>
      <c r="F28" s="6">
        <v>1000</v>
      </c>
      <c r="G28" s="6">
        <v>1000</v>
      </c>
      <c r="H28" s="5" t="s">
        <v>148</v>
      </c>
      <c r="I28" s="5" t="s">
        <v>148</v>
      </c>
      <c r="J28" s="5" t="s">
        <v>149</v>
      </c>
    </row>
    <row r="29" spans="1:10" x14ac:dyDescent="0.35">
      <c r="A29" s="19" t="s">
        <v>150</v>
      </c>
      <c r="B29" s="16"/>
      <c r="C29" s="16"/>
      <c r="D29" s="16"/>
      <c r="E29" s="16"/>
      <c r="F29" s="16"/>
      <c r="G29" s="12">
        <v>1000</v>
      </c>
      <c r="H29" s="13"/>
      <c r="I29" s="13"/>
      <c r="J29" s="13"/>
    </row>
    <row r="31" spans="1:10" x14ac:dyDescent="0.35">
      <c r="A31" s="20" t="s">
        <v>151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x14ac:dyDescent="0.35">
      <c r="A32" s="5">
        <v>1</v>
      </c>
      <c r="B32" s="5" t="s">
        <v>152</v>
      </c>
      <c r="C32" s="5" t="s">
        <v>153</v>
      </c>
      <c r="D32" s="5" t="s">
        <v>148</v>
      </c>
      <c r="E32" s="5">
        <v>1</v>
      </c>
      <c r="F32" s="6">
        <v>1500</v>
      </c>
      <c r="G32" s="6">
        <v>1500</v>
      </c>
      <c r="H32" s="5" t="s">
        <v>148</v>
      </c>
      <c r="I32" s="5" t="s">
        <v>148</v>
      </c>
      <c r="J32" s="5" t="s">
        <v>149</v>
      </c>
    </row>
    <row r="33" spans="1:10" x14ac:dyDescent="0.35">
      <c r="A33" s="19" t="s">
        <v>154</v>
      </c>
      <c r="B33" s="16"/>
      <c r="C33" s="16"/>
      <c r="D33" s="16"/>
      <c r="E33" s="16"/>
      <c r="F33" s="16"/>
      <c r="G33" s="12">
        <v>1500</v>
      </c>
      <c r="H33" s="13"/>
      <c r="I33" s="13"/>
      <c r="J33" s="13"/>
    </row>
    <row r="35" spans="1:10" x14ac:dyDescent="0.35">
      <c r="A35" s="15" t="s">
        <v>155</v>
      </c>
      <c r="B35" s="16"/>
      <c r="C35" s="16"/>
      <c r="D35" s="16"/>
      <c r="E35" s="16"/>
      <c r="F35" s="16"/>
      <c r="G35" s="9">
        <v>4668.7</v>
      </c>
      <c r="H35" s="7" t="s">
        <v>177</v>
      </c>
      <c r="I35" s="8"/>
      <c r="J35" s="8"/>
    </row>
    <row r="37" spans="1:10" x14ac:dyDescent="0.35">
      <c r="A37" s="1" t="s">
        <v>157</v>
      </c>
    </row>
    <row r="38" spans="1:10" x14ac:dyDescent="0.35">
      <c r="A38" s="14" t="s">
        <v>178</v>
      </c>
    </row>
  </sheetData>
  <mergeCells count="10">
    <mergeCell ref="A1:J1"/>
    <mergeCell ref="A31:J31"/>
    <mergeCell ref="A9:J9"/>
    <mergeCell ref="A27:J27"/>
    <mergeCell ref="A4:J4"/>
    <mergeCell ref="A35:F35"/>
    <mergeCell ref="A29:F29"/>
    <mergeCell ref="A7:F7"/>
    <mergeCell ref="A25:F25"/>
    <mergeCell ref="A33:F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J45"/>
  <sheetViews>
    <sheetView workbookViewId="0">
      <selection activeCell="I19" sqref="I19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628</v>
      </c>
      <c r="E2" t="s">
        <v>81</v>
      </c>
      <c r="G2" t="s">
        <v>184</v>
      </c>
      <c r="I2" t="s">
        <v>185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169</v>
      </c>
      <c r="C6" s="5" t="s">
        <v>170</v>
      </c>
      <c r="D6" s="5" t="s">
        <v>99</v>
      </c>
      <c r="E6" s="5">
        <v>6</v>
      </c>
      <c r="F6" s="6">
        <v>14</v>
      </c>
      <c r="G6" s="6">
        <v>84</v>
      </c>
      <c r="H6" s="6">
        <v>5.46</v>
      </c>
      <c r="I6" s="6">
        <v>32.76</v>
      </c>
      <c r="J6" s="5" t="s">
        <v>123</v>
      </c>
    </row>
    <row r="7" spans="1:10" x14ac:dyDescent="0.35">
      <c r="A7" s="5">
        <v>2</v>
      </c>
      <c r="B7" s="5" t="s">
        <v>186</v>
      </c>
      <c r="C7" s="5"/>
      <c r="D7" s="5" t="s">
        <v>99</v>
      </c>
      <c r="E7" s="5">
        <v>2</v>
      </c>
      <c r="F7" s="6">
        <v>153</v>
      </c>
      <c r="G7" s="6">
        <v>306</v>
      </c>
      <c r="H7" s="6">
        <v>74.290000000000006</v>
      </c>
      <c r="I7" s="6">
        <v>148.58000000000001</v>
      </c>
      <c r="J7" s="5" t="s">
        <v>100</v>
      </c>
    </row>
    <row r="8" spans="1:10" x14ac:dyDescent="0.35">
      <c r="A8" s="5">
        <v>3</v>
      </c>
      <c r="B8" s="5" t="s">
        <v>187</v>
      </c>
      <c r="C8" s="5" t="s">
        <v>188</v>
      </c>
      <c r="D8" s="5" t="s">
        <v>99</v>
      </c>
      <c r="E8" s="5">
        <v>2</v>
      </c>
      <c r="F8" s="6">
        <v>31.47</v>
      </c>
      <c r="G8" s="6">
        <v>62.94</v>
      </c>
      <c r="H8" s="6">
        <v>24.76</v>
      </c>
      <c r="I8" s="6">
        <v>49.52</v>
      </c>
      <c r="J8" s="5" t="s">
        <v>189</v>
      </c>
    </row>
    <row r="9" spans="1:10" x14ac:dyDescent="0.35">
      <c r="A9" s="5">
        <v>4</v>
      </c>
      <c r="B9" s="5" t="s">
        <v>140</v>
      </c>
      <c r="C9" s="5" t="s">
        <v>141</v>
      </c>
      <c r="D9" s="5" t="s">
        <v>99</v>
      </c>
      <c r="E9" s="5">
        <v>1</v>
      </c>
      <c r="F9" s="6">
        <v>236.25</v>
      </c>
      <c r="G9" s="6">
        <v>236.25</v>
      </c>
      <c r="H9" s="6">
        <v>200</v>
      </c>
      <c r="I9" s="6">
        <v>200</v>
      </c>
      <c r="J9" s="5" t="s">
        <v>106</v>
      </c>
    </row>
    <row r="10" spans="1:10" x14ac:dyDescent="0.35">
      <c r="A10" s="5">
        <v>5</v>
      </c>
      <c r="B10" s="5" t="s">
        <v>124</v>
      </c>
      <c r="C10" s="5" t="s">
        <v>125</v>
      </c>
      <c r="D10" s="5" t="s">
        <v>99</v>
      </c>
      <c r="E10" s="5">
        <v>1</v>
      </c>
      <c r="F10" s="6">
        <v>37.950000000000003</v>
      </c>
      <c r="G10" s="6">
        <v>37.950000000000003</v>
      </c>
      <c r="H10" s="6">
        <v>27</v>
      </c>
      <c r="I10" s="6">
        <v>27</v>
      </c>
      <c r="J10" s="5" t="s">
        <v>126</v>
      </c>
    </row>
    <row r="11" spans="1:10" x14ac:dyDescent="0.35">
      <c r="A11" s="5">
        <v>6</v>
      </c>
      <c r="B11" s="5" t="s">
        <v>190</v>
      </c>
      <c r="C11" s="5"/>
      <c r="D11" s="5" t="s">
        <v>99</v>
      </c>
      <c r="E11" s="5">
        <v>1</v>
      </c>
      <c r="F11" s="6">
        <v>7.3</v>
      </c>
      <c r="G11" s="6">
        <v>7.3</v>
      </c>
      <c r="H11" s="6">
        <v>5.71</v>
      </c>
      <c r="I11" s="6">
        <v>5.71</v>
      </c>
      <c r="J11" s="5" t="s">
        <v>100</v>
      </c>
    </row>
    <row r="12" spans="1:10" x14ac:dyDescent="0.35">
      <c r="A12" s="5">
        <v>7</v>
      </c>
      <c r="B12" s="5" t="s">
        <v>171</v>
      </c>
      <c r="C12" s="5" t="s">
        <v>172</v>
      </c>
      <c r="D12" s="5" t="s">
        <v>99</v>
      </c>
      <c r="E12" s="5">
        <v>3</v>
      </c>
      <c r="F12" s="6">
        <v>91</v>
      </c>
      <c r="G12" s="6">
        <v>273</v>
      </c>
      <c r="H12" s="6">
        <v>19.059999999999999</v>
      </c>
      <c r="I12" s="6">
        <v>57.18</v>
      </c>
      <c r="J12" s="5" t="s">
        <v>123</v>
      </c>
    </row>
    <row r="13" spans="1:10" x14ac:dyDescent="0.35">
      <c r="A13" s="19" t="s">
        <v>95</v>
      </c>
      <c r="B13" s="16"/>
      <c r="C13" s="16"/>
      <c r="D13" s="16"/>
      <c r="E13" s="16"/>
      <c r="F13" s="16"/>
      <c r="G13" s="12">
        <v>1007.44</v>
      </c>
      <c r="H13" s="13"/>
      <c r="I13" s="12">
        <v>520.75</v>
      </c>
      <c r="J13" s="13"/>
    </row>
    <row r="15" spans="1:10" x14ac:dyDescent="0.35">
      <c r="A15" s="20" t="s">
        <v>96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 x14ac:dyDescent="0.35">
      <c r="A16" s="11" t="s">
        <v>2</v>
      </c>
      <c r="B16" s="11" t="s">
        <v>85</v>
      </c>
      <c r="C16" s="11" t="s">
        <v>86</v>
      </c>
      <c r="D16" s="11" t="s">
        <v>87</v>
      </c>
      <c r="E16" s="11" t="s">
        <v>88</v>
      </c>
      <c r="F16" s="11" t="s">
        <v>89</v>
      </c>
      <c r="G16" s="11" t="s">
        <v>90</v>
      </c>
      <c r="H16" s="11" t="s">
        <v>91</v>
      </c>
      <c r="I16" s="11" t="s">
        <v>92</v>
      </c>
      <c r="J16" s="11" t="s">
        <v>93</v>
      </c>
    </row>
    <row r="17" spans="1:10" x14ac:dyDescent="0.35">
      <c r="A17" s="5">
        <v>1</v>
      </c>
      <c r="B17" s="5" t="s">
        <v>191</v>
      </c>
      <c r="C17" s="5" t="s">
        <v>192</v>
      </c>
      <c r="D17" s="5" t="s">
        <v>99</v>
      </c>
      <c r="E17" s="5">
        <v>1</v>
      </c>
      <c r="F17" s="6">
        <v>390.4</v>
      </c>
      <c r="G17" s="6">
        <v>390.4</v>
      </c>
      <c r="H17" s="6">
        <v>304.76</v>
      </c>
      <c r="I17" s="6">
        <v>304.76</v>
      </c>
      <c r="J17" s="5" t="s">
        <v>189</v>
      </c>
    </row>
    <row r="18" spans="1:10" x14ac:dyDescent="0.35">
      <c r="A18" s="5">
        <v>2</v>
      </c>
      <c r="B18" s="5" t="s">
        <v>193</v>
      </c>
      <c r="C18" s="5" t="s">
        <v>194</v>
      </c>
      <c r="D18" s="5" t="s">
        <v>99</v>
      </c>
      <c r="E18" s="5">
        <v>1</v>
      </c>
      <c r="F18" s="6">
        <v>12.76</v>
      </c>
      <c r="G18" s="6">
        <v>12.76</v>
      </c>
      <c r="H18" s="6">
        <v>10.210000000000001</v>
      </c>
      <c r="I18" s="6">
        <v>10.210000000000001</v>
      </c>
      <c r="J18" s="5" t="s">
        <v>100</v>
      </c>
    </row>
    <row r="19" spans="1:10" x14ac:dyDescent="0.35">
      <c r="A19" s="5">
        <v>3</v>
      </c>
      <c r="B19" s="5" t="s">
        <v>195</v>
      </c>
      <c r="C19" s="5" t="s">
        <v>196</v>
      </c>
      <c r="D19" s="5" t="s">
        <v>99</v>
      </c>
      <c r="E19" s="5">
        <v>1</v>
      </c>
      <c r="F19" s="6">
        <v>66.64</v>
      </c>
      <c r="G19" s="6">
        <v>66.64</v>
      </c>
      <c r="H19" s="6">
        <v>25.71</v>
      </c>
      <c r="I19" s="6">
        <v>25.71</v>
      </c>
      <c r="J19" s="5" t="s">
        <v>100</v>
      </c>
    </row>
    <row r="20" spans="1:10" x14ac:dyDescent="0.35">
      <c r="A20" s="5">
        <v>4</v>
      </c>
      <c r="B20" s="5" t="s">
        <v>197</v>
      </c>
      <c r="C20" s="5" t="s">
        <v>198</v>
      </c>
      <c r="D20" s="5" t="s">
        <v>99</v>
      </c>
      <c r="E20" s="5">
        <v>1</v>
      </c>
      <c r="F20" s="6">
        <v>53.9</v>
      </c>
      <c r="G20" s="6">
        <v>53.9</v>
      </c>
      <c r="H20" s="6">
        <v>41.07</v>
      </c>
      <c r="I20" s="6">
        <v>41.07</v>
      </c>
      <c r="J20" s="5" t="s">
        <v>199</v>
      </c>
    </row>
    <row r="21" spans="1:10" x14ac:dyDescent="0.35">
      <c r="A21" s="5">
        <v>5</v>
      </c>
      <c r="B21" s="5" t="s">
        <v>200</v>
      </c>
      <c r="C21" s="5" t="s">
        <v>102</v>
      </c>
      <c r="D21" s="5" t="s">
        <v>99</v>
      </c>
      <c r="E21" s="5">
        <v>1</v>
      </c>
      <c r="F21" s="6">
        <v>12.72</v>
      </c>
      <c r="G21" s="6">
        <v>12.72</v>
      </c>
      <c r="H21" s="6">
        <v>4.8499999999999996</v>
      </c>
      <c r="I21" s="6">
        <v>4.8499999999999996</v>
      </c>
      <c r="J21" s="5" t="s">
        <v>100</v>
      </c>
    </row>
    <row r="22" spans="1:10" x14ac:dyDescent="0.35">
      <c r="A22" s="5">
        <v>6</v>
      </c>
      <c r="B22" s="5" t="s">
        <v>137</v>
      </c>
      <c r="C22" s="5"/>
      <c r="D22" s="5" t="s">
        <v>99</v>
      </c>
      <c r="E22" s="5">
        <v>1</v>
      </c>
      <c r="F22" s="6">
        <v>201</v>
      </c>
      <c r="G22" s="6">
        <v>201</v>
      </c>
      <c r="H22" s="6">
        <v>10.48</v>
      </c>
      <c r="I22" s="6">
        <v>10.48</v>
      </c>
      <c r="J22" s="5" t="s">
        <v>106</v>
      </c>
    </row>
    <row r="23" spans="1:10" x14ac:dyDescent="0.35">
      <c r="A23" s="5">
        <v>7</v>
      </c>
      <c r="B23" s="5" t="s">
        <v>201</v>
      </c>
      <c r="C23" s="5" t="s">
        <v>202</v>
      </c>
      <c r="D23" s="5" t="s">
        <v>99</v>
      </c>
      <c r="E23" s="5">
        <v>1</v>
      </c>
      <c r="F23" s="6">
        <v>202.55</v>
      </c>
      <c r="G23" s="6">
        <v>202.55</v>
      </c>
      <c r="H23" s="6">
        <v>7.14</v>
      </c>
      <c r="I23" s="6">
        <v>7.14</v>
      </c>
      <c r="J23" s="5" t="s">
        <v>106</v>
      </c>
    </row>
    <row r="24" spans="1:10" x14ac:dyDescent="0.35">
      <c r="A24" s="5">
        <v>8</v>
      </c>
      <c r="B24" s="5" t="s">
        <v>203</v>
      </c>
      <c r="C24" s="5" t="s">
        <v>111</v>
      </c>
      <c r="D24" s="5" t="s">
        <v>99</v>
      </c>
      <c r="E24" s="5">
        <v>3</v>
      </c>
      <c r="F24" s="6">
        <v>62.22</v>
      </c>
      <c r="G24" s="6">
        <v>186.66</v>
      </c>
      <c r="H24" s="6">
        <v>30.48</v>
      </c>
      <c r="I24" s="6">
        <v>91.44</v>
      </c>
      <c r="J24" s="5" t="s">
        <v>204</v>
      </c>
    </row>
    <row r="25" spans="1:10" x14ac:dyDescent="0.35">
      <c r="A25" s="5">
        <v>9</v>
      </c>
      <c r="B25" s="5" t="s">
        <v>164</v>
      </c>
      <c r="C25" s="5" t="s">
        <v>115</v>
      </c>
      <c r="D25" s="5" t="s">
        <v>99</v>
      </c>
      <c r="E25" s="5">
        <v>2</v>
      </c>
      <c r="F25" s="6">
        <v>39.049999999999997</v>
      </c>
      <c r="G25" s="6">
        <v>78.099999999999994</v>
      </c>
      <c r="H25" s="6">
        <v>16.670000000000002</v>
      </c>
      <c r="I25" s="6">
        <v>33.340000000000003</v>
      </c>
      <c r="J25" s="5" t="s">
        <v>100</v>
      </c>
    </row>
    <row r="26" spans="1:10" x14ac:dyDescent="0.35">
      <c r="A26" s="5">
        <v>10</v>
      </c>
      <c r="B26" s="5" t="s">
        <v>205</v>
      </c>
      <c r="C26" s="5" t="s">
        <v>206</v>
      </c>
      <c r="D26" s="5" t="s">
        <v>99</v>
      </c>
      <c r="E26" s="5">
        <v>2</v>
      </c>
      <c r="F26" s="6">
        <v>63.3</v>
      </c>
      <c r="G26" s="6">
        <v>126.6</v>
      </c>
      <c r="H26" s="6">
        <v>17.62</v>
      </c>
      <c r="I26" s="6">
        <v>35.24</v>
      </c>
      <c r="J26" s="5" t="s">
        <v>100</v>
      </c>
    </row>
    <row r="27" spans="1:10" x14ac:dyDescent="0.35">
      <c r="A27" s="5">
        <v>11</v>
      </c>
      <c r="B27" s="5" t="s">
        <v>207</v>
      </c>
      <c r="C27" s="5"/>
      <c r="D27" s="5" t="s">
        <v>99</v>
      </c>
      <c r="E27" s="5">
        <v>1</v>
      </c>
      <c r="F27" s="6">
        <v>174</v>
      </c>
      <c r="G27" s="6">
        <v>174</v>
      </c>
      <c r="H27" s="6">
        <v>120.95</v>
      </c>
      <c r="I27" s="6">
        <v>120.95</v>
      </c>
      <c r="J27" s="5" t="s">
        <v>133</v>
      </c>
    </row>
    <row r="28" spans="1:10" x14ac:dyDescent="0.35">
      <c r="A28" s="5">
        <v>12</v>
      </c>
      <c r="B28" s="5" t="s">
        <v>142</v>
      </c>
      <c r="C28" s="5"/>
      <c r="D28" s="5" t="s">
        <v>99</v>
      </c>
      <c r="E28" s="5">
        <v>1</v>
      </c>
      <c r="F28" s="6">
        <v>361</v>
      </c>
      <c r="G28" s="6">
        <v>361</v>
      </c>
      <c r="H28" s="6">
        <v>29.05</v>
      </c>
      <c r="I28" s="6">
        <v>29.05</v>
      </c>
      <c r="J28" s="5" t="s">
        <v>106</v>
      </c>
    </row>
    <row r="29" spans="1:10" x14ac:dyDescent="0.35">
      <c r="A29" s="5">
        <v>13</v>
      </c>
      <c r="B29" s="5" t="s">
        <v>165</v>
      </c>
      <c r="C29" s="5"/>
      <c r="D29" s="5" t="s">
        <v>99</v>
      </c>
      <c r="E29" s="5">
        <v>3</v>
      </c>
      <c r="F29" s="6">
        <v>20</v>
      </c>
      <c r="G29" s="6">
        <v>60</v>
      </c>
      <c r="H29" s="6">
        <v>3.76</v>
      </c>
      <c r="I29" s="6">
        <v>11.28</v>
      </c>
      <c r="J29" s="5" t="s">
        <v>106</v>
      </c>
    </row>
    <row r="30" spans="1:10" x14ac:dyDescent="0.35">
      <c r="A30" s="5">
        <v>14</v>
      </c>
      <c r="B30" s="5" t="s">
        <v>166</v>
      </c>
      <c r="C30" s="5"/>
      <c r="D30" s="5" t="s">
        <v>99</v>
      </c>
      <c r="E30" s="5">
        <v>2</v>
      </c>
      <c r="F30" s="6">
        <v>10.23</v>
      </c>
      <c r="G30" s="6">
        <v>20.46</v>
      </c>
      <c r="H30" s="6">
        <v>2.38</v>
      </c>
      <c r="I30" s="6">
        <v>4.76</v>
      </c>
      <c r="J30" s="5" t="s">
        <v>106</v>
      </c>
    </row>
    <row r="31" spans="1:10" x14ac:dyDescent="0.35">
      <c r="A31" s="5">
        <v>15</v>
      </c>
      <c r="B31" s="5" t="s">
        <v>208</v>
      </c>
      <c r="C31" s="5"/>
      <c r="D31" s="5" t="s">
        <v>99</v>
      </c>
      <c r="E31" s="5">
        <v>2</v>
      </c>
      <c r="F31" s="6">
        <v>6.04</v>
      </c>
      <c r="G31" s="6">
        <v>12.08</v>
      </c>
      <c r="H31" s="6">
        <v>1.9</v>
      </c>
      <c r="I31" s="6">
        <v>3.8</v>
      </c>
      <c r="J31" s="5" t="s">
        <v>106</v>
      </c>
    </row>
    <row r="32" spans="1:10" x14ac:dyDescent="0.35">
      <c r="A32" s="5">
        <v>16</v>
      </c>
      <c r="B32" s="5" t="s">
        <v>209</v>
      </c>
      <c r="C32" s="5" t="s">
        <v>210</v>
      </c>
      <c r="D32" s="5" t="s">
        <v>99</v>
      </c>
      <c r="E32" s="5">
        <v>2</v>
      </c>
      <c r="F32" s="6">
        <v>3.24</v>
      </c>
      <c r="G32" s="6">
        <v>6.48</v>
      </c>
      <c r="H32" s="6">
        <v>2.5099999999999998</v>
      </c>
      <c r="I32" s="6">
        <v>5.0199999999999996</v>
      </c>
      <c r="J32" s="5" t="s">
        <v>123</v>
      </c>
    </row>
    <row r="33" spans="1:10" x14ac:dyDescent="0.35">
      <c r="A33" s="19" t="s">
        <v>143</v>
      </c>
      <c r="B33" s="16"/>
      <c r="C33" s="16"/>
      <c r="D33" s="16"/>
      <c r="E33" s="16"/>
      <c r="F33" s="16"/>
      <c r="G33" s="12">
        <v>1965.35</v>
      </c>
      <c r="H33" s="13"/>
      <c r="I33" s="12">
        <v>739.1</v>
      </c>
      <c r="J33" s="13"/>
    </row>
    <row r="35" spans="1:10" x14ac:dyDescent="0.35">
      <c r="A35" s="20" t="s">
        <v>144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5">
      <c r="A36" s="5">
        <v>1</v>
      </c>
      <c r="B36" s="5" t="s">
        <v>145</v>
      </c>
      <c r="C36" s="5" t="s">
        <v>146</v>
      </c>
      <c r="D36" s="5" t="s">
        <v>147</v>
      </c>
      <c r="E36" s="5">
        <v>1</v>
      </c>
      <c r="F36" s="6">
        <v>1000</v>
      </c>
      <c r="G36" s="6">
        <v>1000</v>
      </c>
      <c r="H36" s="5" t="s">
        <v>148</v>
      </c>
      <c r="I36" s="5" t="s">
        <v>148</v>
      </c>
      <c r="J36" s="5" t="s">
        <v>149</v>
      </c>
    </row>
    <row r="37" spans="1:10" x14ac:dyDescent="0.35">
      <c r="A37" s="19" t="s">
        <v>150</v>
      </c>
      <c r="B37" s="16"/>
      <c r="C37" s="16"/>
      <c r="D37" s="16"/>
      <c r="E37" s="16"/>
      <c r="F37" s="16"/>
      <c r="G37" s="12">
        <v>1000</v>
      </c>
      <c r="H37" s="13"/>
      <c r="I37" s="13"/>
      <c r="J37" s="13"/>
    </row>
    <row r="39" spans="1:10" x14ac:dyDescent="0.35">
      <c r="A39" s="20" t="s">
        <v>151</v>
      </c>
      <c r="B39" s="16"/>
      <c r="C39" s="16"/>
      <c r="D39" s="16"/>
      <c r="E39" s="16"/>
      <c r="F39" s="16"/>
      <c r="G39" s="16"/>
      <c r="H39" s="16"/>
      <c r="I39" s="16"/>
      <c r="J39" s="16"/>
    </row>
    <row r="40" spans="1:10" x14ac:dyDescent="0.35">
      <c r="A40" s="5">
        <v>1</v>
      </c>
      <c r="B40" s="5" t="s">
        <v>152</v>
      </c>
      <c r="C40" s="5" t="s">
        <v>153</v>
      </c>
      <c r="D40" s="5" t="s">
        <v>148</v>
      </c>
      <c r="E40" s="5">
        <v>1</v>
      </c>
      <c r="F40" s="6">
        <v>1500</v>
      </c>
      <c r="G40" s="6">
        <v>1500</v>
      </c>
      <c r="H40" s="5" t="s">
        <v>148</v>
      </c>
      <c r="I40" s="5" t="s">
        <v>148</v>
      </c>
      <c r="J40" s="5" t="s">
        <v>149</v>
      </c>
    </row>
    <row r="41" spans="1:10" x14ac:dyDescent="0.35">
      <c r="A41" s="19" t="s">
        <v>154</v>
      </c>
      <c r="B41" s="16"/>
      <c r="C41" s="16"/>
      <c r="D41" s="16"/>
      <c r="E41" s="16"/>
      <c r="F41" s="16"/>
      <c r="G41" s="12">
        <v>1500</v>
      </c>
      <c r="H41" s="13"/>
      <c r="I41" s="13"/>
      <c r="J41" s="13"/>
    </row>
    <row r="43" spans="1:10" x14ac:dyDescent="0.35">
      <c r="A43" s="15" t="s">
        <v>155</v>
      </c>
      <c r="B43" s="16"/>
      <c r="C43" s="16"/>
      <c r="D43" s="16"/>
      <c r="E43" s="16"/>
      <c r="F43" s="16"/>
      <c r="G43" s="9">
        <v>5472.79</v>
      </c>
      <c r="H43" s="7" t="s">
        <v>211</v>
      </c>
      <c r="I43" s="8"/>
      <c r="J43" s="8"/>
    </row>
    <row r="45" spans="1:10" x14ac:dyDescent="0.35">
      <c r="A45" s="1" t="s">
        <v>212</v>
      </c>
    </row>
  </sheetData>
  <mergeCells count="10">
    <mergeCell ref="A43:F43"/>
    <mergeCell ref="A41:F41"/>
    <mergeCell ref="A33:F33"/>
    <mergeCell ref="A1:J1"/>
    <mergeCell ref="A13:F13"/>
    <mergeCell ref="A37:F37"/>
    <mergeCell ref="A39:J39"/>
    <mergeCell ref="A15:J15"/>
    <mergeCell ref="A4:J4"/>
    <mergeCell ref="A35:J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7"/>
  <sheetViews>
    <sheetView workbookViewId="0">
      <selection activeCell="A18" sqref="A18:F18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625</v>
      </c>
      <c r="E2" t="s">
        <v>81</v>
      </c>
      <c r="G2" t="s">
        <v>626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171</v>
      </c>
      <c r="C6" s="5" t="s">
        <v>264</v>
      </c>
      <c r="D6" s="5" t="s">
        <v>99</v>
      </c>
      <c r="E6" s="5">
        <v>2</v>
      </c>
      <c r="F6" s="6">
        <v>91</v>
      </c>
      <c r="G6" s="6">
        <v>182</v>
      </c>
      <c r="H6" s="6">
        <v>19.059999999999999</v>
      </c>
      <c r="I6" s="6">
        <v>38.119999999999997</v>
      </c>
      <c r="J6" s="5" t="s">
        <v>123</v>
      </c>
    </row>
    <row r="7" spans="1:10" x14ac:dyDescent="0.35">
      <c r="A7" s="5">
        <v>2</v>
      </c>
      <c r="B7" s="5" t="s">
        <v>138</v>
      </c>
      <c r="C7" s="5" t="s">
        <v>139</v>
      </c>
      <c r="D7" s="5" t="s">
        <v>99</v>
      </c>
      <c r="E7" s="5">
        <v>6</v>
      </c>
      <c r="F7" s="5">
        <v>20</v>
      </c>
      <c r="G7" s="5">
        <f>F7*E7</f>
        <v>120</v>
      </c>
      <c r="H7" s="5">
        <v>5</v>
      </c>
      <c r="I7" s="5">
        <f>H7*E7</f>
        <v>30</v>
      </c>
      <c r="J7" s="5" t="s">
        <v>130</v>
      </c>
    </row>
    <row r="8" spans="1:10" x14ac:dyDescent="0.35">
      <c r="A8" s="5">
        <v>3</v>
      </c>
      <c r="B8" s="5" t="s">
        <v>140</v>
      </c>
      <c r="C8" s="5" t="s">
        <v>141</v>
      </c>
      <c r="D8" s="5" t="s">
        <v>99</v>
      </c>
      <c r="E8" s="5">
        <v>1</v>
      </c>
      <c r="F8" s="6">
        <v>236.25</v>
      </c>
      <c r="G8" s="6">
        <v>236.25</v>
      </c>
      <c r="H8" s="6">
        <v>200</v>
      </c>
      <c r="I8" s="6">
        <v>200</v>
      </c>
      <c r="J8" s="5" t="s">
        <v>106</v>
      </c>
    </row>
    <row r="9" spans="1:10" x14ac:dyDescent="0.35">
      <c r="A9" s="5">
        <v>4</v>
      </c>
      <c r="B9" s="5" t="s">
        <v>267</v>
      </c>
      <c r="C9" s="5" t="s">
        <v>268</v>
      </c>
      <c r="D9" s="5" t="s">
        <v>99</v>
      </c>
      <c r="E9" s="5">
        <v>1</v>
      </c>
      <c r="F9" s="6">
        <v>21</v>
      </c>
      <c r="G9" s="6">
        <v>21</v>
      </c>
      <c r="H9" s="6">
        <v>13</v>
      </c>
      <c r="I9" s="6">
        <v>13</v>
      </c>
      <c r="J9" s="5" t="s">
        <v>120</v>
      </c>
    </row>
    <row r="10" spans="1:10" x14ac:dyDescent="0.35">
      <c r="A10" s="19" t="s">
        <v>95</v>
      </c>
      <c r="B10" s="16"/>
      <c r="C10" s="16"/>
      <c r="D10" s="16"/>
      <c r="E10" s="16"/>
      <c r="F10" s="16"/>
      <c r="G10" s="12">
        <f>SUM(G6:G9)</f>
        <v>559.25</v>
      </c>
      <c r="H10" s="13"/>
      <c r="I10" s="12">
        <f>SUM(I6:I9)</f>
        <v>281.12</v>
      </c>
      <c r="J10" s="13"/>
    </row>
    <row r="12" spans="1:10" x14ac:dyDescent="0.35">
      <c r="A12" s="20" t="s">
        <v>96</v>
      </c>
      <c r="B12" s="16"/>
      <c r="C12" s="16"/>
      <c r="D12" s="16"/>
      <c r="E12" s="16"/>
      <c r="F12" s="16"/>
      <c r="G12" s="16"/>
      <c r="H12" s="16"/>
      <c r="I12" s="16"/>
      <c r="J12" s="16"/>
    </row>
    <row r="13" spans="1:10" x14ac:dyDescent="0.35">
      <c r="A13" s="11" t="s">
        <v>2</v>
      </c>
      <c r="B13" s="11" t="s">
        <v>85</v>
      </c>
      <c r="C13" s="11" t="s">
        <v>86</v>
      </c>
      <c r="D13" s="11" t="s">
        <v>87</v>
      </c>
      <c r="E13" s="11" t="s">
        <v>88</v>
      </c>
      <c r="F13" s="11" t="s">
        <v>89</v>
      </c>
      <c r="G13" s="11" t="s">
        <v>90</v>
      </c>
      <c r="H13" s="11" t="s">
        <v>91</v>
      </c>
      <c r="I13" s="11" t="s">
        <v>92</v>
      </c>
      <c r="J13" s="11" t="s">
        <v>93</v>
      </c>
    </row>
    <row r="14" spans="1:10" x14ac:dyDescent="0.35">
      <c r="A14" s="19"/>
      <c r="B14" s="16"/>
      <c r="C14" s="16"/>
      <c r="D14" s="16"/>
      <c r="E14" s="16"/>
      <c r="F14" s="16"/>
      <c r="G14" s="12"/>
      <c r="H14" s="13"/>
      <c r="I14" s="12"/>
      <c r="J14" s="13"/>
    </row>
    <row r="16" spans="1:10" x14ac:dyDescent="0.35">
      <c r="A16" s="20" t="s">
        <v>144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35">
      <c r="A17" s="5">
        <v>1</v>
      </c>
      <c r="B17" s="5" t="s">
        <v>145</v>
      </c>
      <c r="C17" s="5" t="s">
        <v>146</v>
      </c>
      <c r="D17" s="5" t="s">
        <v>147</v>
      </c>
      <c r="E17" s="5">
        <v>1</v>
      </c>
      <c r="F17" s="6">
        <v>1000</v>
      </c>
      <c r="G17" s="6">
        <v>1000</v>
      </c>
      <c r="H17" s="5" t="s">
        <v>148</v>
      </c>
      <c r="I17" s="5" t="s">
        <v>148</v>
      </c>
      <c r="J17" s="5" t="s">
        <v>149</v>
      </c>
    </row>
    <row r="18" spans="1:10" x14ac:dyDescent="0.35">
      <c r="A18" s="19" t="s">
        <v>150</v>
      </c>
      <c r="B18" s="16"/>
      <c r="C18" s="16"/>
      <c r="D18" s="16"/>
      <c r="E18" s="16"/>
      <c r="F18" s="16"/>
      <c r="G18" s="12">
        <v>1000</v>
      </c>
      <c r="H18" s="13"/>
      <c r="I18" s="13"/>
      <c r="J18" s="13"/>
    </row>
    <row r="20" spans="1:10" x14ac:dyDescent="0.35">
      <c r="A20" s="20" t="s">
        <v>151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35">
      <c r="A21" s="5">
        <v>1</v>
      </c>
      <c r="B21" s="5" t="s">
        <v>152</v>
      </c>
      <c r="C21" s="5" t="s">
        <v>153</v>
      </c>
      <c r="D21" s="5" t="s">
        <v>148</v>
      </c>
      <c r="E21" s="5">
        <v>1</v>
      </c>
      <c r="F21" s="6">
        <v>1500</v>
      </c>
      <c r="G21" s="6">
        <v>1500</v>
      </c>
      <c r="H21" s="5" t="s">
        <v>148</v>
      </c>
      <c r="I21" s="5" t="s">
        <v>148</v>
      </c>
      <c r="J21" s="5" t="s">
        <v>149</v>
      </c>
    </row>
    <row r="22" spans="1:10" x14ac:dyDescent="0.35">
      <c r="A22" s="19" t="s">
        <v>154</v>
      </c>
      <c r="B22" s="16"/>
      <c r="C22" s="16"/>
      <c r="D22" s="16"/>
      <c r="E22" s="16"/>
      <c r="F22" s="16"/>
      <c r="G22" s="12">
        <v>1500</v>
      </c>
      <c r="H22" s="13"/>
      <c r="I22" s="13"/>
      <c r="J22" s="13"/>
    </row>
    <row r="24" spans="1:10" x14ac:dyDescent="0.35">
      <c r="A24" s="15" t="s">
        <v>155</v>
      </c>
      <c r="B24" s="16"/>
      <c r="C24" s="16"/>
      <c r="D24" s="16"/>
      <c r="E24" s="16"/>
      <c r="F24" s="16"/>
      <c r="G24" s="9">
        <f>G22+G18+G14+G10</f>
        <v>3059.25</v>
      </c>
      <c r="H24" s="7" t="s">
        <v>627</v>
      </c>
      <c r="I24" s="9">
        <f>I22+I18+I14+I10</f>
        <v>281.12</v>
      </c>
      <c r="J24" s="8"/>
    </row>
    <row r="26" spans="1:10" x14ac:dyDescent="0.35">
      <c r="A26" s="1" t="s">
        <v>157</v>
      </c>
    </row>
    <row r="27" spans="1:10" x14ac:dyDescent="0.35">
      <c r="A27" s="14" t="s">
        <v>178</v>
      </c>
    </row>
  </sheetData>
  <mergeCells count="10">
    <mergeCell ref="A24:F24"/>
    <mergeCell ref="A1:J1"/>
    <mergeCell ref="A18:F18"/>
    <mergeCell ref="A16:J16"/>
    <mergeCell ref="A12:J12"/>
    <mergeCell ref="A22:F22"/>
    <mergeCell ref="A20:J20"/>
    <mergeCell ref="A4:J4"/>
    <mergeCell ref="A14:F14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30"/>
  <sheetViews>
    <sheetView topLeftCell="A8" workbookViewId="0">
      <selection activeCell="C11" sqref="C1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179</v>
      </c>
      <c r="E2" t="s">
        <v>81</v>
      </c>
      <c r="G2" t="s">
        <v>160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169</v>
      </c>
      <c r="C11" s="5" t="s">
        <v>170</v>
      </c>
      <c r="D11" s="5" t="s">
        <v>99</v>
      </c>
      <c r="E11" s="5">
        <v>6</v>
      </c>
      <c r="F11" s="6">
        <v>14</v>
      </c>
      <c r="G11" s="6">
        <v>84</v>
      </c>
      <c r="H11" s="6">
        <v>5.46</v>
      </c>
      <c r="I11" s="6">
        <v>32.76</v>
      </c>
      <c r="J11" s="5" t="s">
        <v>123</v>
      </c>
    </row>
    <row r="12" spans="1:10" x14ac:dyDescent="0.35">
      <c r="A12" s="5">
        <v>2</v>
      </c>
      <c r="B12" s="5" t="s">
        <v>171</v>
      </c>
      <c r="C12" s="5" t="s">
        <v>172</v>
      </c>
      <c r="D12" s="5" t="s">
        <v>99</v>
      </c>
      <c r="E12" s="5">
        <v>2</v>
      </c>
      <c r="F12" s="6">
        <v>91</v>
      </c>
      <c r="G12" s="6">
        <v>182</v>
      </c>
      <c r="H12" s="6">
        <v>19.059999999999999</v>
      </c>
      <c r="I12" s="6">
        <v>38.119999999999997</v>
      </c>
      <c r="J12" s="5" t="s">
        <v>123</v>
      </c>
    </row>
    <row r="13" spans="1:10" x14ac:dyDescent="0.35">
      <c r="A13" s="5">
        <v>3</v>
      </c>
      <c r="B13" s="5" t="s">
        <v>138</v>
      </c>
      <c r="C13" s="5" t="s">
        <v>139</v>
      </c>
      <c r="D13" s="5" t="s">
        <v>99</v>
      </c>
      <c r="E13" s="5">
        <v>3</v>
      </c>
      <c r="F13" s="5" t="s">
        <v>129</v>
      </c>
      <c r="G13" s="5" t="s">
        <v>129</v>
      </c>
      <c r="H13" s="5" t="s">
        <v>129</v>
      </c>
      <c r="I13" s="5" t="s">
        <v>129</v>
      </c>
      <c r="J13" s="5" t="s">
        <v>130</v>
      </c>
    </row>
    <row r="14" spans="1:10" x14ac:dyDescent="0.35">
      <c r="A14" s="5">
        <v>4</v>
      </c>
      <c r="B14" s="5" t="s">
        <v>180</v>
      </c>
      <c r="C14" s="5" t="s">
        <v>125</v>
      </c>
      <c r="D14" s="5" t="s">
        <v>99</v>
      </c>
      <c r="E14" s="5">
        <v>1</v>
      </c>
      <c r="F14" s="6">
        <v>37.950000000000003</v>
      </c>
      <c r="G14" s="6">
        <v>37.950000000000003</v>
      </c>
      <c r="H14" s="6">
        <v>27</v>
      </c>
      <c r="I14" s="6">
        <v>27</v>
      </c>
      <c r="J14" s="5" t="s">
        <v>126</v>
      </c>
    </row>
    <row r="15" spans="1:10" x14ac:dyDescent="0.35">
      <c r="A15" s="5">
        <v>5</v>
      </c>
      <c r="B15" s="5" t="s">
        <v>140</v>
      </c>
      <c r="C15" s="5" t="s">
        <v>141</v>
      </c>
      <c r="D15" s="5" t="s">
        <v>99</v>
      </c>
      <c r="E15" s="5">
        <v>1</v>
      </c>
      <c r="F15" s="6">
        <v>236.25</v>
      </c>
      <c r="G15" s="6">
        <v>236.25</v>
      </c>
      <c r="H15" s="6">
        <v>200</v>
      </c>
      <c r="I15" s="6">
        <v>200</v>
      </c>
      <c r="J15" s="5" t="s">
        <v>106</v>
      </c>
    </row>
    <row r="16" spans="1:10" x14ac:dyDescent="0.35">
      <c r="A16" s="5">
        <v>6</v>
      </c>
      <c r="B16" s="5" t="s">
        <v>181</v>
      </c>
      <c r="C16" s="5" t="s">
        <v>182</v>
      </c>
      <c r="D16" s="5" t="s">
        <v>99</v>
      </c>
      <c r="E16" s="5">
        <v>1</v>
      </c>
      <c r="F16" s="6">
        <v>42.8</v>
      </c>
      <c r="G16" s="6">
        <v>42.8</v>
      </c>
      <c r="H16" s="6">
        <v>17.14</v>
      </c>
      <c r="I16" s="6">
        <v>17.14</v>
      </c>
      <c r="J16" s="5" t="s">
        <v>100</v>
      </c>
    </row>
    <row r="17" spans="1:10" x14ac:dyDescent="0.35">
      <c r="A17" s="19" t="s">
        <v>143</v>
      </c>
      <c r="B17" s="16"/>
      <c r="C17" s="16"/>
      <c r="D17" s="16"/>
      <c r="E17" s="16"/>
      <c r="F17" s="16"/>
      <c r="G17" s="12">
        <v>583</v>
      </c>
      <c r="H17" s="13"/>
      <c r="I17" s="12">
        <v>315.02</v>
      </c>
      <c r="J17" s="13"/>
    </row>
    <row r="19" spans="1:10" x14ac:dyDescent="0.35">
      <c r="A19" s="20" t="s">
        <v>144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5">
      <c r="A20" s="5">
        <v>1</v>
      </c>
      <c r="B20" s="5" t="s">
        <v>145</v>
      </c>
      <c r="C20" s="5" t="s">
        <v>146</v>
      </c>
      <c r="D20" s="5" t="s">
        <v>147</v>
      </c>
      <c r="E20" s="5">
        <v>1</v>
      </c>
      <c r="F20" s="6">
        <v>1000</v>
      </c>
      <c r="G20" s="6">
        <v>1000</v>
      </c>
      <c r="H20" s="5" t="s">
        <v>148</v>
      </c>
      <c r="I20" s="5" t="s">
        <v>148</v>
      </c>
      <c r="J20" s="5" t="s">
        <v>149</v>
      </c>
    </row>
    <row r="21" spans="1:10" x14ac:dyDescent="0.35">
      <c r="A21" s="19" t="s">
        <v>150</v>
      </c>
      <c r="B21" s="16"/>
      <c r="C21" s="16"/>
      <c r="D21" s="16"/>
      <c r="E21" s="16"/>
      <c r="F21" s="16"/>
      <c r="G21" s="12">
        <v>1000</v>
      </c>
      <c r="H21" s="13"/>
      <c r="I21" s="13"/>
      <c r="J21" s="13"/>
    </row>
    <row r="23" spans="1:10" x14ac:dyDescent="0.35">
      <c r="A23" s="20" t="s">
        <v>151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5">
      <c r="A24" s="5">
        <v>1</v>
      </c>
      <c r="B24" s="5" t="s">
        <v>152</v>
      </c>
      <c r="C24" s="5" t="s">
        <v>153</v>
      </c>
      <c r="D24" s="5" t="s">
        <v>148</v>
      </c>
      <c r="E24" s="5">
        <v>1</v>
      </c>
      <c r="F24" s="6">
        <v>1500</v>
      </c>
      <c r="G24" s="6">
        <v>1500</v>
      </c>
      <c r="H24" s="5" t="s">
        <v>148</v>
      </c>
      <c r="I24" s="5" t="s">
        <v>148</v>
      </c>
      <c r="J24" s="5" t="s">
        <v>149</v>
      </c>
    </row>
    <row r="25" spans="1:10" x14ac:dyDescent="0.35">
      <c r="A25" s="19" t="s">
        <v>154</v>
      </c>
      <c r="B25" s="16"/>
      <c r="C25" s="16"/>
      <c r="D25" s="16"/>
      <c r="E25" s="16"/>
      <c r="F25" s="16"/>
      <c r="G25" s="12">
        <v>1500</v>
      </c>
      <c r="H25" s="13"/>
      <c r="I25" s="13"/>
      <c r="J25" s="13"/>
    </row>
    <row r="27" spans="1:10" x14ac:dyDescent="0.35">
      <c r="A27" s="15" t="s">
        <v>155</v>
      </c>
      <c r="B27" s="16"/>
      <c r="C27" s="16"/>
      <c r="D27" s="16"/>
      <c r="E27" s="16"/>
      <c r="F27" s="16"/>
      <c r="G27" s="9">
        <v>3083</v>
      </c>
      <c r="H27" s="7" t="s">
        <v>183</v>
      </c>
      <c r="I27" s="8"/>
      <c r="J27" s="8"/>
    </row>
    <row r="29" spans="1:10" x14ac:dyDescent="0.35">
      <c r="A29" s="1" t="s">
        <v>157</v>
      </c>
    </row>
    <row r="30" spans="1:10" x14ac:dyDescent="0.35">
      <c r="A30" s="14" t="s">
        <v>178</v>
      </c>
    </row>
  </sheetData>
  <mergeCells count="10">
    <mergeCell ref="A1:J1"/>
    <mergeCell ref="A23:J23"/>
    <mergeCell ref="A9:J9"/>
    <mergeCell ref="A27:F27"/>
    <mergeCell ref="A4:J4"/>
    <mergeCell ref="A17:F17"/>
    <mergeCell ref="A25:F25"/>
    <mergeCell ref="A21:F21"/>
    <mergeCell ref="A7:F7"/>
    <mergeCell ref="A19:J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5"/>
  <sheetViews>
    <sheetView topLeftCell="A4"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318</v>
      </c>
      <c r="E2" t="s">
        <v>319</v>
      </c>
      <c r="G2" t="s">
        <v>266</v>
      </c>
      <c r="I2" t="s">
        <v>215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205</v>
      </c>
      <c r="C6" s="5" t="s">
        <v>206</v>
      </c>
      <c r="D6" s="5" t="s">
        <v>99</v>
      </c>
      <c r="E6" s="5">
        <v>1</v>
      </c>
      <c r="F6" s="6">
        <v>63.3</v>
      </c>
      <c r="G6" s="6">
        <v>63.3</v>
      </c>
      <c r="H6" s="6">
        <v>17.62</v>
      </c>
      <c r="I6" s="6">
        <v>17.62</v>
      </c>
      <c r="J6" s="5" t="s">
        <v>100</v>
      </c>
    </row>
    <row r="7" spans="1:10" x14ac:dyDescent="0.35">
      <c r="A7" s="5">
        <v>2</v>
      </c>
      <c r="B7" s="5" t="s">
        <v>137</v>
      </c>
      <c r="C7" s="5"/>
      <c r="D7" s="5" t="s">
        <v>99</v>
      </c>
      <c r="E7" s="5">
        <v>1</v>
      </c>
      <c r="F7" s="6">
        <v>201</v>
      </c>
      <c r="G7" s="6">
        <v>201</v>
      </c>
      <c r="H7" s="6">
        <v>10.48</v>
      </c>
      <c r="I7" s="6">
        <v>10.48</v>
      </c>
      <c r="J7" s="5" t="s">
        <v>106</v>
      </c>
    </row>
    <row r="8" spans="1:10" x14ac:dyDescent="0.35">
      <c r="A8" s="5">
        <v>3</v>
      </c>
      <c r="B8" s="5" t="s">
        <v>163</v>
      </c>
      <c r="C8" s="5"/>
      <c r="D8" s="5" t="s">
        <v>99</v>
      </c>
      <c r="E8" s="5">
        <v>1</v>
      </c>
      <c r="F8" s="6">
        <v>202.55</v>
      </c>
      <c r="G8" s="6">
        <v>202.55</v>
      </c>
      <c r="H8" s="6">
        <v>7.14</v>
      </c>
      <c r="I8" s="6">
        <v>7.14</v>
      </c>
      <c r="J8" s="5" t="s">
        <v>106</v>
      </c>
    </row>
    <row r="9" spans="1:10" x14ac:dyDescent="0.35">
      <c r="A9" s="5">
        <v>4</v>
      </c>
      <c r="B9" s="5" t="s">
        <v>320</v>
      </c>
      <c r="C9" s="5" t="s">
        <v>321</v>
      </c>
      <c r="D9" s="5" t="s">
        <v>99</v>
      </c>
      <c r="E9" s="5">
        <v>1</v>
      </c>
      <c r="F9" s="6">
        <v>79.5</v>
      </c>
      <c r="G9" s="6">
        <v>79.5</v>
      </c>
      <c r="H9" s="6">
        <v>59.53</v>
      </c>
      <c r="I9" s="6">
        <v>59.53</v>
      </c>
      <c r="J9" s="5" t="s">
        <v>112</v>
      </c>
    </row>
    <row r="10" spans="1:10" x14ac:dyDescent="0.35">
      <c r="A10" s="5">
        <v>5</v>
      </c>
      <c r="B10" s="5" t="s">
        <v>322</v>
      </c>
      <c r="C10" s="5" t="s">
        <v>196</v>
      </c>
      <c r="D10" s="5" t="s">
        <v>99</v>
      </c>
      <c r="E10" s="5">
        <v>1</v>
      </c>
      <c r="F10" s="6">
        <v>66.64</v>
      </c>
      <c r="G10" s="6">
        <v>66.64</v>
      </c>
      <c r="H10" s="6">
        <v>25.71</v>
      </c>
      <c r="I10" s="6">
        <v>25.71</v>
      </c>
      <c r="J10" s="5" t="s">
        <v>302</v>
      </c>
    </row>
    <row r="11" spans="1:10" x14ac:dyDescent="0.35">
      <c r="A11" s="5">
        <v>6</v>
      </c>
      <c r="B11" s="5" t="s">
        <v>323</v>
      </c>
      <c r="C11" s="5" t="s">
        <v>102</v>
      </c>
      <c r="D11" s="5" t="s">
        <v>99</v>
      </c>
      <c r="E11" s="5">
        <v>1</v>
      </c>
      <c r="F11" s="6">
        <v>12.72</v>
      </c>
      <c r="G11" s="6">
        <v>12.72</v>
      </c>
      <c r="H11" s="6">
        <v>4.8499999999999996</v>
      </c>
      <c r="I11" s="6">
        <v>4.8499999999999996</v>
      </c>
      <c r="J11" s="5" t="s">
        <v>100</v>
      </c>
    </row>
    <row r="12" spans="1:10" x14ac:dyDescent="0.35">
      <c r="A12" s="5">
        <v>7</v>
      </c>
      <c r="B12" s="5" t="s">
        <v>324</v>
      </c>
      <c r="C12" s="5" t="s">
        <v>104</v>
      </c>
      <c r="D12" s="5" t="s">
        <v>99</v>
      </c>
      <c r="E12" s="5">
        <v>1</v>
      </c>
      <c r="F12" s="6">
        <v>7.48</v>
      </c>
      <c r="G12" s="6">
        <v>7.48</v>
      </c>
      <c r="H12" s="6">
        <v>4.29</v>
      </c>
      <c r="I12" s="6">
        <v>4.29</v>
      </c>
      <c r="J12" s="5" t="s">
        <v>100</v>
      </c>
    </row>
    <row r="13" spans="1:10" x14ac:dyDescent="0.35">
      <c r="A13" s="5">
        <v>8</v>
      </c>
      <c r="B13" s="5" t="s">
        <v>282</v>
      </c>
      <c r="C13" s="5" t="s">
        <v>283</v>
      </c>
      <c r="D13" s="5" t="s">
        <v>99</v>
      </c>
      <c r="E13" s="5">
        <v>2</v>
      </c>
      <c r="F13" s="6">
        <v>72.2</v>
      </c>
      <c r="G13" s="6">
        <v>144.4</v>
      </c>
      <c r="H13" s="6">
        <v>50.54</v>
      </c>
      <c r="I13" s="6">
        <v>101.08</v>
      </c>
      <c r="J13" s="5" t="s">
        <v>284</v>
      </c>
    </row>
    <row r="14" spans="1:10" x14ac:dyDescent="0.35">
      <c r="A14" s="5">
        <v>9</v>
      </c>
      <c r="B14" s="5" t="s">
        <v>325</v>
      </c>
      <c r="C14" s="5" t="s">
        <v>326</v>
      </c>
      <c r="D14" s="5" t="s">
        <v>99</v>
      </c>
      <c r="E14" s="5">
        <v>1</v>
      </c>
      <c r="F14" s="6">
        <v>15.37</v>
      </c>
      <c r="G14" s="6">
        <v>15.37</v>
      </c>
      <c r="H14" s="6">
        <v>11.24</v>
      </c>
      <c r="I14" s="6">
        <v>11.24</v>
      </c>
      <c r="J14" s="5" t="s">
        <v>189</v>
      </c>
    </row>
    <row r="15" spans="1:10" x14ac:dyDescent="0.35">
      <c r="A15" s="5">
        <v>10</v>
      </c>
      <c r="B15" s="5" t="s">
        <v>313</v>
      </c>
      <c r="C15" s="5" t="s">
        <v>314</v>
      </c>
      <c r="D15" s="5" t="s">
        <v>99</v>
      </c>
      <c r="E15" s="5">
        <v>1</v>
      </c>
      <c r="F15" s="6">
        <v>31.03</v>
      </c>
      <c r="G15" s="6">
        <v>31.03</v>
      </c>
      <c r="H15" s="6">
        <v>23.81</v>
      </c>
      <c r="I15" s="6">
        <v>23.81</v>
      </c>
      <c r="J15" s="5" t="s">
        <v>189</v>
      </c>
    </row>
    <row r="16" spans="1:10" x14ac:dyDescent="0.35">
      <c r="A16" s="5">
        <v>11</v>
      </c>
      <c r="B16" s="5" t="s">
        <v>312</v>
      </c>
      <c r="C16" s="5" t="s">
        <v>245</v>
      </c>
      <c r="D16" s="5" t="s">
        <v>99</v>
      </c>
      <c r="E16" s="5">
        <v>1</v>
      </c>
      <c r="F16" s="6">
        <v>200</v>
      </c>
      <c r="G16" s="6">
        <v>200</v>
      </c>
      <c r="H16" s="6">
        <v>140</v>
      </c>
      <c r="I16" s="6">
        <v>140</v>
      </c>
      <c r="J16" s="5" t="s">
        <v>246</v>
      </c>
    </row>
    <row r="17" spans="1:10" x14ac:dyDescent="0.35">
      <c r="A17" s="5">
        <v>12</v>
      </c>
      <c r="B17" s="5" t="s">
        <v>327</v>
      </c>
      <c r="C17" s="5" t="s">
        <v>328</v>
      </c>
      <c r="D17" s="5" t="s">
        <v>99</v>
      </c>
      <c r="E17" s="5">
        <v>1</v>
      </c>
      <c r="F17" s="6">
        <v>52</v>
      </c>
      <c r="G17" s="6">
        <v>52</v>
      </c>
      <c r="H17" s="6">
        <v>36.4</v>
      </c>
      <c r="I17" s="6">
        <v>36.4</v>
      </c>
      <c r="J17" s="5" t="s">
        <v>329</v>
      </c>
    </row>
    <row r="18" spans="1:10" x14ac:dyDescent="0.35">
      <c r="A18" s="5">
        <v>13</v>
      </c>
      <c r="B18" s="5" t="s">
        <v>330</v>
      </c>
      <c r="C18" s="5"/>
      <c r="D18" s="5" t="s">
        <v>99</v>
      </c>
      <c r="E18" s="5">
        <v>1</v>
      </c>
      <c r="F18" s="6">
        <v>19.03</v>
      </c>
      <c r="G18" s="6">
        <v>19.03</v>
      </c>
      <c r="H18" s="6">
        <v>12.57</v>
      </c>
      <c r="I18" s="6">
        <v>12.57</v>
      </c>
      <c r="J18" s="5" t="s">
        <v>100</v>
      </c>
    </row>
    <row r="19" spans="1:10" x14ac:dyDescent="0.35">
      <c r="A19" s="5">
        <v>14</v>
      </c>
      <c r="B19" s="5" t="s">
        <v>331</v>
      </c>
      <c r="C19" s="5" t="s">
        <v>332</v>
      </c>
      <c r="D19" s="5" t="s">
        <v>99</v>
      </c>
      <c r="E19" s="5">
        <v>1</v>
      </c>
      <c r="F19" s="6">
        <v>15</v>
      </c>
      <c r="G19" s="6">
        <v>15</v>
      </c>
      <c r="H19" s="6">
        <v>10.5</v>
      </c>
      <c r="I19" s="6">
        <v>10.5</v>
      </c>
      <c r="J19" s="5" t="s">
        <v>284</v>
      </c>
    </row>
    <row r="20" spans="1:10" x14ac:dyDescent="0.35">
      <c r="A20" s="5">
        <v>15</v>
      </c>
      <c r="B20" s="5" t="s">
        <v>235</v>
      </c>
      <c r="C20" s="5" t="s">
        <v>102</v>
      </c>
      <c r="D20" s="5" t="s">
        <v>99</v>
      </c>
      <c r="E20" s="5">
        <v>1</v>
      </c>
      <c r="F20" s="6">
        <v>12.72</v>
      </c>
      <c r="G20" s="6">
        <v>12.72</v>
      </c>
      <c r="H20" s="6">
        <v>4.8499999999999996</v>
      </c>
      <c r="I20" s="6">
        <v>4.8499999999999996</v>
      </c>
      <c r="J20" s="5" t="s">
        <v>100</v>
      </c>
    </row>
    <row r="21" spans="1:10" x14ac:dyDescent="0.35">
      <c r="A21" s="5">
        <v>16</v>
      </c>
      <c r="B21" s="5" t="s">
        <v>333</v>
      </c>
      <c r="C21" s="5" t="s">
        <v>334</v>
      </c>
      <c r="D21" s="5" t="s">
        <v>99</v>
      </c>
      <c r="E21" s="5">
        <v>1</v>
      </c>
      <c r="F21" s="6">
        <v>120</v>
      </c>
      <c r="G21" s="6">
        <v>120</v>
      </c>
      <c r="H21" s="6">
        <v>40</v>
      </c>
      <c r="I21" s="6">
        <v>40</v>
      </c>
      <c r="J21" s="5" t="s">
        <v>335</v>
      </c>
    </row>
    <row r="22" spans="1:10" x14ac:dyDescent="0.35">
      <c r="A22" s="5">
        <v>17</v>
      </c>
      <c r="B22" s="5" t="s">
        <v>336</v>
      </c>
      <c r="C22" s="5" t="s">
        <v>334</v>
      </c>
      <c r="D22" s="5" t="s">
        <v>99</v>
      </c>
      <c r="E22" s="5">
        <v>1</v>
      </c>
      <c r="F22" s="6">
        <v>120</v>
      </c>
      <c r="G22" s="6">
        <v>120</v>
      </c>
      <c r="H22" s="6">
        <v>40</v>
      </c>
      <c r="I22" s="6">
        <v>40</v>
      </c>
      <c r="J22" s="5" t="s">
        <v>335</v>
      </c>
    </row>
    <row r="23" spans="1:10" x14ac:dyDescent="0.35">
      <c r="A23" s="5">
        <v>18</v>
      </c>
      <c r="B23" s="5" t="s">
        <v>337</v>
      </c>
      <c r="C23" s="5" t="s">
        <v>334</v>
      </c>
      <c r="D23" s="5" t="s">
        <v>99</v>
      </c>
      <c r="E23" s="5">
        <v>1</v>
      </c>
      <c r="F23" s="6">
        <v>120</v>
      </c>
      <c r="G23" s="6">
        <v>120</v>
      </c>
      <c r="H23" s="6">
        <v>40</v>
      </c>
      <c r="I23" s="6">
        <v>40</v>
      </c>
      <c r="J23" s="5" t="s">
        <v>335</v>
      </c>
    </row>
    <row r="24" spans="1:10" x14ac:dyDescent="0.35">
      <c r="A24" s="5">
        <v>19</v>
      </c>
      <c r="B24" s="5" t="s">
        <v>338</v>
      </c>
      <c r="C24" s="5" t="s">
        <v>339</v>
      </c>
      <c r="D24" s="5" t="s">
        <v>99</v>
      </c>
      <c r="E24" s="5">
        <v>1</v>
      </c>
      <c r="F24" s="6">
        <v>150</v>
      </c>
      <c r="G24" s="6">
        <v>150</v>
      </c>
      <c r="H24" s="6">
        <v>105</v>
      </c>
      <c r="I24" s="6">
        <v>105</v>
      </c>
      <c r="J24" s="5" t="s">
        <v>340</v>
      </c>
    </row>
    <row r="25" spans="1:10" x14ac:dyDescent="0.35">
      <c r="A25" s="5">
        <v>20</v>
      </c>
      <c r="B25" s="5" t="s">
        <v>165</v>
      </c>
      <c r="C25" s="5"/>
      <c r="D25" s="5" t="s">
        <v>99</v>
      </c>
      <c r="E25" s="5">
        <v>3</v>
      </c>
      <c r="F25" s="6">
        <v>20</v>
      </c>
      <c r="G25" s="6">
        <v>60</v>
      </c>
      <c r="H25" s="6">
        <v>3.76</v>
      </c>
      <c r="I25" s="6">
        <v>11.28</v>
      </c>
      <c r="J25" s="5" t="s">
        <v>106</v>
      </c>
    </row>
    <row r="26" spans="1:10" x14ac:dyDescent="0.35">
      <c r="A26" s="5">
        <v>21</v>
      </c>
      <c r="B26" s="5" t="s">
        <v>166</v>
      </c>
      <c r="C26" s="5"/>
      <c r="D26" s="5" t="s">
        <v>99</v>
      </c>
      <c r="E26" s="5">
        <v>3</v>
      </c>
      <c r="F26" s="6">
        <v>10.23</v>
      </c>
      <c r="G26" s="6">
        <v>30.69</v>
      </c>
      <c r="H26" s="6">
        <v>2.38</v>
      </c>
      <c r="I26" s="6">
        <v>7.14</v>
      </c>
      <c r="J26" s="5" t="s">
        <v>106</v>
      </c>
    </row>
    <row r="27" spans="1:10" x14ac:dyDescent="0.35">
      <c r="A27" s="5">
        <v>22</v>
      </c>
      <c r="B27" s="5" t="s">
        <v>208</v>
      </c>
      <c r="C27" s="5"/>
      <c r="D27" s="5" t="s">
        <v>99</v>
      </c>
      <c r="E27" s="5">
        <v>3</v>
      </c>
      <c r="F27" s="6">
        <v>6.04</v>
      </c>
      <c r="G27" s="6">
        <v>18.12</v>
      </c>
      <c r="H27" s="6">
        <v>1.9</v>
      </c>
      <c r="I27" s="6">
        <v>5.7</v>
      </c>
      <c r="J27" s="5" t="s">
        <v>106</v>
      </c>
    </row>
    <row r="28" spans="1:10" x14ac:dyDescent="0.35">
      <c r="A28" s="19" t="s">
        <v>95</v>
      </c>
      <c r="B28" s="16"/>
      <c r="C28" s="16"/>
      <c r="D28" s="16"/>
      <c r="E28" s="16"/>
      <c r="F28" s="16"/>
      <c r="G28" s="12">
        <v>1741.55</v>
      </c>
      <c r="H28" s="13"/>
      <c r="I28" s="12">
        <v>719.19</v>
      </c>
      <c r="J28" s="13"/>
    </row>
    <row r="30" spans="1:10" x14ac:dyDescent="0.35">
      <c r="A30" s="20" t="s">
        <v>96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35">
      <c r="A31" s="11" t="s">
        <v>2</v>
      </c>
      <c r="B31" s="11" t="s">
        <v>85</v>
      </c>
      <c r="C31" s="11" t="s">
        <v>86</v>
      </c>
      <c r="D31" s="11" t="s">
        <v>87</v>
      </c>
      <c r="E31" s="11" t="s">
        <v>88</v>
      </c>
      <c r="F31" s="11" t="s">
        <v>89</v>
      </c>
      <c r="G31" s="11" t="s">
        <v>90</v>
      </c>
      <c r="H31" s="11" t="s">
        <v>91</v>
      </c>
      <c r="I31" s="11" t="s">
        <v>92</v>
      </c>
      <c r="J31" s="11" t="s">
        <v>93</v>
      </c>
    </row>
    <row r="32" spans="1:10" x14ac:dyDescent="0.35">
      <c r="B32" t="s">
        <v>94</v>
      </c>
    </row>
    <row r="33" spans="1:10" x14ac:dyDescent="0.35">
      <c r="A33" s="19" t="s">
        <v>143</v>
      </c>
      <c r="B33" s="16"/>
      <c r="C33" s="16"/>
      <c r="D33" s="16"/>
      <c r="E33" s="16"/>
      <c r="F33" s="16"/>
      <c r="G33" s="12">
        <v>0</v>
      </c>
      <c r="H33" s="13"/>
      <c r="I33" s="12"/>
      <c r="J33" s="13"/>
    </row>
    <row r="35" spans="1:10" x14ac:dyDescent="0.35">
      <c r="A35" s="20" t="s">
        <v>144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5">
      <c r="A36" s="5">
        <v>1</v>
      </c>
      <c r="B36" s="5" t="s">
        <v>145</v>
      </c>
      <c r="C36" s="5" t="s">
        <v>146</v>
      </c>
      <c r="D36" s="5" t="s">
        <v>147</v>
      </c>
      <c r="E36" s="5">
        <v>1</v>
      </c>
      <c r="F36" s="6">
        <v>1000</v>
      </c>
      <c r="G36" s="6">
        <v>1000</v>
      </c>
      <c r="H36" s="5" t="s">
        <v>148</v>
      </c>
      <c r="I36" s="5" t="s">
        <v>148</v>
      </c>
      <c r="J36" s="5" t="s">
        <v>149</v>
      </c>
    </row>
    <row r="37" spans="1:10" x14ac:dyDescent="0.35">
      <c r="A37" s="19" t="s">
        <v>150</v>
      </c>
      <c r="B37" s="16"/>
      <c r="C37" s="16"/>
      <c r="D37" s="16"/>
      <c r="E37" s="16"/>
      <c r="F37" s="16"/>
      <c r="G37" s="12">
        <v>1000</v>
      </c>
      <c r="H37" s="13"/>
      <c r="I37" s="13"/>
      <c r="J37" s="13"/>
    </row>
    <row r="39" spans="1:10" x14ac:dyDescent="0.35">
      <c r="A39" s="20" t="s">
        <v>151</v>
      </c>
      <c r="B39" s="16"/>
      <c r="C39" s="16"/>
      <c r="D39" s="16"/>
      <c r="E39" s="16"/>
      <c r="F39" s="16"/>
      <c r="G39" s="16"/>
      <c r="H39" s="16"/>
      <c r="I39" s="16"/>
      <c r="J39" s="16"/>
    </row>
    <row r="40" spans="1:10" x14ac:dyDescent="0.35">
      <c r="A40" s="5">
        <v>1</v>
      </c>
      <c r="B40" s="5" t="s">
        <v>152</v>
      </c>
      <c r="C40" s="5" t="s">
        <v>153</v>
      </c>
      <c r="D40" s="5" t="s">
        <v>148</v>
      </c>
      <c r="E40" s="5">
        <v>1</v>
      </c>
      <c r="F40" s="6">
        <v>1500</v>
      </c>
      <c r="G40" s="6">
        <v>1500</v>
      </c>
      <c r="H40" s="5" t="s">
        <v>148</v>
      </c>
      <c r="I40" s="5" t="s">
        <v>148</v>
      </c>
      <c r="J40" s="5" t="s">
        <v>149</v>
      </c>
    </row>
    <row r="41" spans="1:10" x14ac:dyDescent="0.35">
      <c r="A41" s="19" t="s">
        <v>154</v>
      </c>
      <c r="B41" s="16"/>
      <c r="C41" s="16"/>
      <c r="D41" s="16"/>
      <c r="E41" s="16"/>
      <c r="F41" s="16"/>
      <c r="G41" s="12">
        <v>1500</v>
      </c>
      <c r="H41" s="13"/>
      <c r="I41" s="13"/>
      <c r="J41" s="13"/>
    </row>
    <row r="43" spans="1:10" x14ac:dyDescent="0.35">
      <c r="A43" s="15" t="s">
        <v>155</v>
      </c>
      <c r="B43" s="16"/>
      <c r="C43" s="16"/>
      <c r="D43" s="16"/>
      <c r="E43" s="16"/>
      <c r="F43" s="16"/>
      <c r="G43" s="9">
        <v>4241.55</v>
      </c>
      <c r="H43" s="7" t="s">
        <v>341</v>
      </c>
      <c r="I43" s="8"/>
      <c r="J43" s="8"/>
    </row>
    <row r="45" spans="1:10" x14ac:dyDescent="0.35">
      <c r="A45" s="1" t="s">
        <v>231</v>
      </c>
    </row>
  </sheetData>
  <mergeCells count="10">
    <mergeCell ref="A43:F43"/>
    <mergeCell ref="A41:F41"/>
    <mergeCell ref="A33:F33"/>
    <mergeCell ref="A1:J1"/>
    <mergeCell ref="A28:F28"/>
    <mergeCell ref="A37:F37"/>
    <mergeCell ref="A30:J30"/>
    <mergeCell ref="A39:J39"/>
    <mergeCell ref="A35:J35"/>
    <mergeCell ref="A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213</v>
      </c>
      <c r="E2" t="s">
        <v>81</v>
      </c>
      <c r="G2" t="s">
        <v>214</v>
      </c>
      <c r="I2" t="s">
        <v>215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216</v>
      </c>
      <c r="C6" s="5" t="s">
        <v>217</v>
      </c>
      <c r="D6" s="5" t="s">
        <v>99</v>
      </c>
      <c r="E6" s="5">
        <v>1</v>
      </c>
      <c r="F6" s="6">
        <v>201</v>
      </c>
      <c r="G6" s="6">
        <v>201</v>
      </c>
      <c r="H6" s="6">
        <v>10.48</v>
      </c>
      <c r="I6" s="6">
        <v>10.48</v>
      </c>
      <c r="J6" s="5" t="s">
        <v>106</v>
      </c>
    </row>
    <row r="7" spans="1:10" x14ac:dyDescent="0.35">
      <c r="A7" s="5">
        <v>2</v>
      </c>
      <c r="B7" s="5" t="s">
        <v>218</v>
      </c>
      <c r="C7" s="5" t="s">
        <v>163</v>
      </c>
      <c r="D7" s="5" t="s">
        <v>99</v>
      </c>
      <c r="E7" s="5">
        <v>1</v>
      </c>
      <c r="F7" s="6">
        <v>202.55</v>
      </c>
      <c r="G7" s="6">
        <v>202.55</v>
      </c>
      <c r="H7" s="6">
        <v>7.14</v>
      </c>
      <c r="I7" s="6">
        <v>7.14</v>
      </c>
      <c r="J7" s="5" t="s">
        <v>106</v>
      </c>
    </row>
    <row r="8" spans="1:10" x14ac:dyDescent="0.35">
      <c r="A8" s="5">
        <v>3</v>
      </c>
      <c r="B8" s="5" t="s">
        <v>219</v>
      </c>
      <c r="C8" s="5" t="s">
        <v>220</v>
      </c>
      <c r="D8" s="5" t="s">
        <v>99</v>
      </c>
      <c r="E8" s="5">
        <v>1</v>
      </c>
      <c r="F8" s="6">
        <v>153</v>
      </c>
      <c r="G8" s="6">
        <v>153</v>
      </c>
      <c r="H8" s="6">
        <v>74.290000000000006</v>
      </c>
      <c r="I8" s="6">
        <v>74.290000000000006</v>
      </c>
      <c r="J8" s="5" t="s">
        <v>100</v>
      </c>
    </row>
    <row r="9" spans="1:10" x14ac:dyDescent="0.35">
      <c r="A9" s="5">
        <v>4</v>
      </c>
      <c r="B9" s="5" t="s">
        <v>208</v>
      </c>
      <c r="C9" s="5"/>
      <c r="D9" s="5" t="s">
        <v>99</v>
      </c>
      <c r="E9" s="5">
        <v>2</v>
      </c>
      <c r="F9" s="6">
        <v>6.04</v>
      </c>
      <c r="G9" s="6">
        <v>12.08</v>
      </c>
      <c r="H9" s="6">
        <v>1.9</v>
      </c>
      <c r="I9" s="6">
        <v>3.8</v>
      </c>
      <c r="J9" s="5" t="s">
        <v>106</v>
      </c>
    </row>
    <row r="10" spans="1:10" x14ac:dyDescent="0.35">
      <c r="A10" s="5">
        <v>5</v>
      </c>
      <c r="B10" s="5" t="s">
        <v>166</v>
      </c>
      <c r="C10" s="5"/>
      <c r="D10" s="5" t="s">
        <v>99</v>
      </c>
      <c r="E10" s="5">
        <v>2</v>
      </c>
      <c r="F10" s="6">
        <v>10.23</v>
      </c>
      <c r="G10" s="6">
        <v>20.46</v>
      </c>
      <c r="H10" s="6">
        <v>2.38</v>
      </c>
      <c r="I10" s="6">
        <v>4.76</v>
      </c>
      <c r="J10" s="5" t="s">
        <v>106</v>
      </c>
    </row>
    <row r="11" spans="1:10" x14ac:dyDescent="0.35">
      <c r="A11" s="5">
        <v>6</v>
      </c>
      <c r="B11" s="5" t="s">
        <v>165</v>
      </c>
      <c r="C11" s="5"/>
      <c r="D11" s="5" t="s">
        <v>99</v>
      </c>
      <c r="E11" s="5">
        <v>3</v>
      </c>
      <c r="F11" s="6">
        <v>20</v>
      </c>
      <c r="G11" s="6">
        <v>60</v>
      </c>
      <c r="H11" s="6">
        <v>3.76</v>
      </c>
      <c r="I11" s="6">
        <v>11.28</v>
      </c>
      <c r="J11" s="5" t="s">
        <v>106</v>
      </c>
    </row>
    <row r="12" spans="1:10" x14ac:dyDescent="0.35">
      <c r="A12" s="5">
        <v>7</v>
      </c>
      <c r="B12" s="5" t="s">
        <v>209</v>
      </c>
      <c r="C12" s="5" t="s">
        <v>210</v>
      </c>
      <c r="D12" s="5" t="s">
        <v>99</v>
      </c>
      <c r="E12" s="5">
        <v>2</v>
      </c>
      <c r="F12" s="6">
        <v>3.24</v>
      </c>
      <c r="G12" s="6">
        <v>6.48</v>
      </c>
      <c r="H12" s="6">
        <v>2.5099999999999998</v>
      </c>
      <c r="I12" s="6">
        <v>5.0199999999999996</v>
      </c>
      <c r="J12" s="5" t="s">
        <v>123</v>
      </c>
    </row>
    <row r="13" spans="1:10" x14ac:dyDescent="0.35">
      <c r="A13" s="5">
        <v>8</v>
      </c>
      <c r="B13" s="5" t="s">
        <v>221</v>
      </c>
      <c r="C13" s="5" t="s">
        <v>102</v>
      </c>
      <c r="D13" s="5" t="s">
        <v>99</v>
      </c>
      <c r="E13" s="5">
        <v>1</v>
      </c>
      <c r="F13" s="6">
        <v>12.72</v>
      </c>
      <c r="G13" s="6">
        <v>12.72</v>
      </c>
      <c r="H13" s="6">
        <v>4.8499999999999996</v>
      </c>
      <c r="I13" s="6">
        <v>4.8499999999999996</v>
      </c>
      <c r="J13" s="5" t="s">
        <v>100</v>
      </c>
    </row>
    <row r="14" spans="1:10" x14ac:dyDescent="0.35">
      <c r="A14" s="5">
        <v>9</v>
      </c>
      <c r="B14" s="5" t="s">
        <v>222</v>
      </c>
      <c r="C14" s="5" t="s">
        <v>223</v>
      </c>
      <c r="D14" s="5" t="s">
        <v>99</v>
      </c>
      <c r="E14" s="5">
        <v>1</v>
      </c>
      <c r="F14" s="6">
        <v>7.3</v>
      </c>
      <c r="G14" s="6">
        <v>7.3</v>
      </c>
      <c r="H14" s="6">
        <v>5.71</v>
      </c>
      <c r="I14" s="6">
        <v>5.71</v>
      </c>
      <c r="J14" s="5" t="s">
        <v>100</v>
      </c>
    </row>
    <row r="15" spans="1:10" x14ac:dyDescent="0.35">
      <c r="A15" s="5">
        <v>10</v>
      </c>
      <c r="B15" s="5" t="s">
        <v>193</v>
      </c>
      <c r="C15" s="5" t="s">
        <v>194</v>
      </c>
      <c r="D15" s="5" t="s">
        <v>99</v>
      </c>
      <c r="E15" s="5">
        <v>1</v>
      </c>
      <c r="F15" s="6">
        <v>12.76</v>
      </c>
      <c r="G15" s="6">
        <v>12.76</v>
      </c>
      <c r="H15" s="6">
        <v>10.210000000000001</v>
      </c>
      <c r="I15" s="6">
        <v>10.210000000000001</v>
      </c>
      <c r="J15" s="5" t="s">
        <v>100</v>
      </c>
    </row>
    <row r="16" spans="1:10" x14ac:dyDescent="0.35">
      <c r="A16" s="5">
        <v>11</v>
      </c>
      <c r="B16" s="5" t="s">
        <v>224</v>
      </c>
      <c r="C16" s="5" t="s">
        <v>188</v>
      </c>
      <c r="D16" s="5" t="s">
        <v>99</v>
      </c>
      <c r="E16" s="5">
        <v>1</v>
      </c>
      <c r="F16" s="6">
        <v>31.47</v>
      </c>
      <c r="G16" s="6">
        <v>31.47</v>
      </c>
      <c r="H16" s="6">
        <v>24.76</v>
      </c>
      <c r="I16" s="6">
        <v>24.76</v>
      </c>
      <c r="J16" s="5" t="s">
        <v>225</v>
      </c>
    </row>
    <row r="17" spans="1:10" x14ac:dyDescent="0.35">
      <c r="A17" s="5">
        <v>12</v>
      </c>
      <c r="B17" s="5" t="s">
        <v>226</v>
      </c>
      <c r="C17" s="5"/>
      <c r="D17" s="5" t="s">
        <v>99</v>
      </c>
      <c r="E17" s="5">
        <v>1</v>
      </c>
      <c r="F17" s="6">
        <v>174</v>
      </c>
      <c r="G17" s="6">
        <v>174</v>
      </c>
      <c r="H17" s="6">
        <v>120.95</v>
      </c>
      <c r="I17" s="6">
        <v>120.95</v>
      </c>
      <c r="J17" s="5" t="s">
        <v>133</v>
      </c>
    </row>
    <row r="18" spans="1:10" x14ac:dyDescent="0.35">
      <c r="A18" s="5">
        <v>13</v>
      </c>
      <c r="B18" s="5" t="s">
        <v>142</v>
      </c>
      <c r="C18" s="5"/>
      <c r="D18" s="5" t="s">
        <v>99</v>
      </c>
      <c r="E18" s="5">
        <v>1</v>
      </c>
      <c r="F18" s="6">
        <v>361</v>
      </c>
      <c r="G18" s="6">
        <v>361</v>
      </c>
      <c r="H18" s="6">
        <v>29.05</v>
      </c>
      <c r="I18" s="6">
        <v>29.05</v>
      </c>
      <c r="J18" s="5" t="s">
        <v>106</v>
      </c>
    </row>
    <row r="19" spans="1:10" x14ac:dyDescent="0.35">
      <c r="A19" s="5">
        <v>14</v>
      </c>
      <c r="B19" s="5" t="s">
        <v>169</v>
      </c>
      <c r="C19" s="5" t="s">
        <v>170</v>
      </c>
      <c r="D19" s="5" t="s">
        <v>99</v>
      </c>
      <c r="E19" s="5">
        <v>6</v>
      </c>
      <c r="F19" s="6">
        <v>14</v>
      </c>
      <c r="G19" s="6">
        <v>84</v>
      </c>
      <c r="H19" s="6">
        <v>5.46</v>
      </c>
      <c r="I19" s="6">
        <v>32.76</v>
      </c>
      <c r="J19" s="5" t="s">
        <v>123</v>
      </c>
    </row>
    <row r="20" spans="1:10" x14ac:dyDescent="0.35">
      <c r="A20" s="5">
        <v>15</v>
      </c>
      <c r="B20" s="5" t="s">
        <v>164</v>
      </c>
      <c r="C20" s="5" t="s">
        <v>115</v>
      </c>
      <c r="D20" s="5" t="s">
        <v>99</v>
      </c>
      <c r="E20" s="5">
        <v>1</v>
      </c>
      <c r="F20" s="6">
        <v>39.049999999999997</v>
      </c>
      <c r="G20" s="6">
        <v>39.049999999999997</v>
      </c>
      <c r="H20" s="6">
        <v>16.670000000000002</v>
      </c>
      <c r="I20" s="6">
        <v>16.670000000000002</v>
      </c>
      <c r="J20" s="5" t="s">
        <v>100</v>
      </c>
    </row>
    <row r="21" spans="1:10" x14ac:dyDescent="0.35">
      <c r="A21" s="5">
        <v>16</v>
      </c>
      <c r="B21" s="5" t="s">
        <v>205</v>
      </c>
      <c r="C21" s="5" t="s">
        <v>206</v>
      </c>
      <c r="D21" s="5" t="s">
        <v>99</v>
      </c>
      <c r="E21" s="5">
        <v>2</v>
      </c>
      <c r="F21" s="6">
        <v>63.3</v>
      </c>
      <c r="G21" s="6">
        <v>126.6</v>
      </c>
      <c r="H21" s="6">
        <v>17.62</v>
      </c>
      <c r="I21" s="6">
        <v>35.24</v>
      </c>
      <c r="J21" s="5" t="s">
        <v>100</v>
      </c>
    </row>
    <row r="22" spans="1:10" x14ac:dyDescent="0.35">
      <c r="A22" s="5">
        <v>17</v>
      </c>
      <c r="B22" s="5" t="s">
        <v>227</v>
      </c>
      <c r="C22" s="5" t="s">
        <v>228</v>
      </c>
      <c r="D22" s="5" t="s">
        <v>99</v>
      </c>
      <c r="E22" s="5">
        <v>3</v>
      </c>
      <c r="F22" s="6">
        <v>62.22</v>
      </c>
      <c r="G22" s="6">
        <v>186.66</v>
      </c>
      <c r="H22" s="6">
        <v>30.48</v>
      </c>
      <c r="I22" s="6">
        <v>91.44</v>
      </c>
      <c r="J22" s="5" t="s">
        <v>112</v>
      </c>
    </row>
    <row r="23" spans="1:10" x14ac:dyDescent="0.35">
      <c r="A23" s="5">
        <v>18</v>
      </c>
      <c r="B23" s="5" t="s">
        <v>140</v>
      </c>
      <c r="C23" s="5" t="s">
        <v>141</v>
      </c>
      <c r="D23" s="5" t="s">
        <v>99</v>
      </c>
      <c r="E23" s="5">
        <v>1</v>
      </c>
      <c r="F23" s="6">
        <v>236.25</v>
      </c>
      <c r="G23" s="6">
        <v>236.25</v>
      </c>
      <c r="H23" s="6">
        <v>200</v>
      </c>
      <c r="I23" s="6">
        <v>200</v>
      </c>
      <c r="J23" s="5" t="s">
        <v>106</v>
      </c>
    </row>
    <row r="24" spans="1:10" x14ac:dyDescent="0.35">
      <c r="A24" s="5">
        <v>19</v>
      </c>
      <c r="B24" s="5" t="s">
        <v>124</v>
      </c>
      <c r="C24" s="5" t="s">
        <v>125</v>
      </c>
      <c r="D24" s="5" t="s">
        <v>99</v>
      </c>
      <c r="E24" s="5">
        <v>1</v>
      </c>
      <c r="F24" s="6">
        <v>37.950000000000003</v>
      </c>
      <c r="G24" s="6">
        <v>37.950000000000003</v>
      </c>
      <c r="H24" s="6">
        <v>27</v>
      </c>
      <c r="I24" s="6">
        <v>27</v>
      </c>
      <c r="J24" s="5" t="s">
        <v>126</v>
      </c>
    </row>
    <row r="25" spans="1:10" x14ac:dyDescent="0.35">
      <c r="A25" s="5">
        <v>20</v>
      </c>
      <c r="B25" s="5" t="s">
        <v>171</v>
      </c>
      <c r="C25" s="5" t="s">
        <v>229</v>
      </c>
      <c r="D25" s="5" t="s">
        <v>99</v>
      </c>
      <c r="E25" s="5">
        <v>5</v>
      </c>
      <c r="F25" s="6">
        <v>91</v>
      </c>
      <c r="G25" s="6">
        <v>455</v>
      </c>
      <c r="H25" s="6">
        <v>19.059999999999999</v>
      </c>
      <c r="I25" s="6">
        <v>95.3</v>
      </c>
      <c r="J25" s="5" t="s">
        <v>123</v>
      </c>
    </row>
    <row r="26" spans="1:10" x14ac:dyDescent="0.35">
      <c r="A26" s="19" t="s">
        <v>95</v>
      </c>
      <c r="B26" s="16"/>
      <c r="C26" s="16"/>
      <c r="D26" s="16"/>
      <c r="E26" s="16"/>
      <c r="F26" s="16"/>
      <c r="G26" s="12">
        <v>2420.33</v>
      </c>
      <c r="H26" s="13"/>
      <c r="I26" s="12">
        <v>810.71</v>
      </c>
      <c r="J26" s="13"/>
    </row>
    <row r="28" spans="1:10" x14ac:dyDescent="0.35">
      <c r="A28" s="20" t="s">
        <v>96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x14ac:dyDescent="0.35">
      <c r="A29" s="11" t="s">
        <v>2</v>
      </c>
      <c r="B29" s="11" t="s">
        <v>85</v>
      </c>
      <c r="C29" s="11" t="s">
        <v>86</v>
      </c>
      <c r="D29" s="11" t="s">
        <v>87</v>
      </c>
      <c r="E29" s="11" t="s">
        <v>88</v>
      </c>
      <c r="F29" s="11" t="s">
        <v>89</v>
      </c>
      <c r="G29" s="11" t="s">
        <v>90</v>
      </c>
      <c r="H29" s="11" t="s">
        <v>91</v>
      </c>
      <c r="I29" s="11" t="s">
        <v>92</v>
      </c>
      <c r="J29" s="11" t="s">
        <v>93</v>
      </c>
    </row>
    <row r="30" spans="1:10" x14ac:dyDescent="0.35">
      <c r="B30" t="s">
        <v>94</v>
      </c>
    </row>
    <row r="31" spans="1:10" x14ac:dyDescent="0.35">
      <c r="A31" s="19" t="s">
        <v>143</v>
      </c>
      <c r="B31" s="16"/>
      <c r="C31" s="16"/>
      <c r="D31" s="16"/>
      <c r="E31" s="16"/>
      <c r="F31" s="16"/>
      <c r="G31" s="12">
        <v>0</v>
      </c>
      <c r="H31" s="13"/>
      <c r="I31" s="12"/>
      <c r="J31" s="13"/>
    </row>
    <row r="33" spans="1:10" x14ac:dyDescent="0.35">
      <c r="A33" s="20" t="s">
        <v>144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35">
      <c r="A34" s="5">
        <v>1</v>
      </c>
      <c r="B34" s="5" t="s">
        <v>145</v>
      </c>
      <c r="C34" s="5" t="s">
        <v>146</v>
      </c>
      <c r="D34" s="5" t="s">
        <v>147</v>
      </c>
      <c r="E34" s="5">
        <v>1</v>
      </c>
      <c r="F34" s="6">
        <v>1000</v>
      </c>
      <c r="G34" s="6">
        <v>1000</v>
      </c>
      <c r="H34" s="5" t="s">
        <v>148</v>
      </c>
      <c r="I34" s="5" t="s">
        <v>148</v>
      </c>
      <c r="J34" s="5" t="s">
        <v>149</v>
      </c>
    </row>
    <row r="35" spans="1:10" x14ac:dyDescent="0.35">
      <c r="A35" s="19" t="s">
        <v>150</v>
      </c>
      <c r="B35" s="16"/>
      <c r="C35" s="16"/>
      <c r="D35" s="16"/>
      <c r="E35" s="16"/>
      <c r="F35" s="16"/>
      <c r="G35" s="12">
        <v>1000</v>
      </c>
      <c r="H35" s="13"/>
      <c r="I35" s="13"/>
      <c r="J35" s="13"/>
    </row>
    <row r="37" spans="1:10" x14ac:dyDescent="0.35">
      <c r="A37" s="20" t="s">
        <v>151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5">
      <c r="A38" s="5">
        <v>1</v>
      </c>
      <c r="B38" s="5" t="s">
        <v>152</v>
      </c>
      <c r="C38" s="5" t="s">
        <v>153</v>
      </c>
      <c r="D38" s="5" t="s">
        <v>148</v>
      </c>
      <c r="E38" s="5">
        <v>1</v>
      </c>
      <c r="F38" s="6">
        <v>1500</v>
      </c>
      <c r="G38" s="6">
        <v>1500</v>
      </c>
      <c r="H38" s="5" t="s">
        <v>148</v>
      </c>
      <c r="I38" s="5" t="s">
        <v>148</v>
      </c>
      <c r="J38" s="5" t="s">
        <v>149</v>
      </c>
    </row>
    <row r="39" spans="1:10" x14ac:dyDescent="0.35">
      <c r="A39" s="19" t="s">
        <v>154</v>
      </c>
      <c r="B39" s="16"/>
      <c r="C39" s="16"/>
      <c r="D39" s="16"/>
      <c r="E39" s="16"/>
      <c r="F39" s="16"/>
      <c r="G39" s="12">
        <v>1500</v>
      </c>
      <c r="H39" s="13"/>
      <c r="I39" s="13"/>
      <c r="J39" s="13"/>
    </row>
    <row r="41" spans="1:10" x14ac:dyDescent="0.35">
      <c r="A41" s="15" t="s">
        <v>155</v>
      </c>
      <c r="B41" s="16"/>
      <c r="C41" s="16"/>
      <c r="D41" s="16"/>
      <c r="E41" s="16"/>
      <c r="F41" s="16"/>
      <c r="G41" s="9">
        <v>4920.33</v>
      </c>
      <c r="H41" s="7" t="s">
        <v>230</v>
      </c>
      <c r="I41" s="8"/>
      <c r="J41" s="8"/>
    </row>
    <row r="43" spans="1:10" x14ac:dyDescent="0.35">
      <c r="A43" s="1" t="s">
        <v>231</v>
      </c>
    </row>
  </sheetData>
  <mergeCells count="10">
    <mergeCell ref="A41:F41"/>
    <mergeCell ref="A1:J1"/>
    <mergeCell ref="A37:J37"/>
    <mergeCell ref="A31:F31"/>
    <mergeCell ref="A4:J4"/>
    <mergeCell ref="A35:F35"/>
    <mergeCell ref="A26:F26"/>
    <mergeCell ref="A39:F39"/>
    <mergeCell ref="A28:J28"/>
    <mergeCell ref="A33:J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2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240</v>
      </c>
      <c r="E2" t="s">
        <v>81</v>
      </c>
      <c r="G2" t="s">
        <v>241</v>
      </c>
      <c r="I2" t="s">
        <v>215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218</v>
      </c>
      <c r="C6" s="5" t="s">
        <v>163</v>
      </c>
      <c r="D6" s="5" t="s">
        <v>99</v>
      </c>
      <c r="E6" s="5">
        <v>1</v>
      </c>
      <c r="F6" s="6">
        <v>202.55</v>
      </c>
      <c r="G6" s="6">
        <v>202.55</v>
      </c>
      <c r="H6" s="6">
        <v>7.14</v>
      </c>
      <c r="I6" s="6">
        <v>7.14</v>
      </c>
      <c r="J6" s="5" t="s">
        <v>106</v>
      </c>
    </row>
    <row r="7" spans="1:10" x14ac:dyDescent="0.35">
      <c r="A7" s="5">
        <v>2</v>
      </c>
      <c r="B7" s="5" t="s">
        <v>208</v>
      </c>
      <c r="C7" s="5"/>
      <c r="D7" s="5" t="s">
        <v>99</v>
      </c>
      <c r="E7" s="5">
        <v>1</v>
      </c>
      <c r="F7" s="6">
        <v>6.04</v>
      </c>
      <c r="G7" s="6">
        <v>6.04</v>
      </c>
      <c r="H7" s="6">
        <v>1.9</v>
      </c>
      <c r="I7" s="6">
        <v>1.9</v>
      </c>
      <c r="J7" s="5" t="s">
        <v>106</v>
      </c>
    </row>
    <row r="8" spans="1:10" x14ac:dyDescent="0.35">
      <c r="A8" s="5">
        <v>3</v>
      </c>
      <c r="B8" s="5" t="s">
        <v>165</v>
      </c>
      <c r="C8" s="5"/>
      <c r="D8" s="5" t="s">
        <v>99</v>
      </c>
      <c r="E8" s="5">
        <v>2</v>
      </c>
      <c r="F8" s="6">
        <v>20</v>
      </c>
      <c r="G8" s="6">
        <v>40</v>
      </c>
      <c r="H8" s="6">
        <v>3.76</v>
      </c>
      <c r="I8" s="6">
        <v>7.52</v>
      </c>
      <c r="J8" s="5" t="s">
        <v>106</v>
      </c>
    </row>
    <row r="9" spans="1:10" x14ac:dyDescent="0.35">
      <c r="A9" s="5">
        <v>4</v>
      </c>
      <c r="B9" s="5" t="s">
        <v>242</v>
      </c>
      <c r="C9" s="5" t="s">
        <v>210</v>
      </c>
      <c r="D9" s="5" t="s">
        <v>99</v>
      </c>
      <c r="E9" s="5">
        <v>1</v>
      </c>
      <c r="F9" s="6">
        <v>3.24</v>
      </c>
      <c r="G9" s="6">
        <v>3.24</v>
      </c>
      <c r="H9" s="6">
        <v>2.5099999999999998</v>
      </c>
      <c r="I9" s="6">
        <v>2.5099999999999998</v>
      </c>
      <c r="J9" s="5" t="s">
        <v>123</v>
      </c>
    </row>
    <row r="10" spans="1:10" x14ac:dyDescent="0.35">
      <c r="A10" s="5">
        <v>5</v>
      </c>
      <c r="B10" s="5" t="s">
        <v>243</v>
      </c>
      <c r="C10" s="5" t="s">
        <v>102</v>
      </c>
      <c r="D10" s="5" t="s">
        <v>99</v>
      </c>
      <c r="E10" s="5">
        <v>1</v>
      </c>
      <c r="F10" s="6">
        <v>12.72</v>
      </c>
      <c r="G10" s="6">
        <v>12.72</v>
      </c>
      <c r="H10" s="6">
        <v>4.8499999999999996</v>
      </c>
      <c r="I10" s="6">
        <v>4.8499999999999996</v>
      </c>
      <c r="J10" s="5" t="s">
        <v>100</v>
      </c>
    </row>
    <row r="11" spans="1:10" x14ac:dyDescent="0.35">
      <c r="A11" s="5">
        <v>6</v>
      </c>
      <c r="B11" s="5" t="s">
        <v>244</v>
      </c>
      <c r="C11" s="5" t="s">
        <v>245</v>
      </c>
      <c r="D11" s="5" t="s">
        <v>99</v>
      </c>
      <c r="E11" s="5">
        <v>1</v>
      </c>
      <c r="F11" s="6">
        <v>200</v>
      </c>
      <c r="G11" s="6">
        <v>200</v>
      </c>
      <c r="H11" s="6">
        <v>140</v>
      </c>
      <c r="I11" s="6">
        <v>140</v>
      </c>
      <c r="J11" s="5" t="s">
        <v>246</v>
      </c>
    </row>
    <row r="12" spans="1:10" x14ac:dyDescent="0.35">
      <c r="A12" s="5">
        <v>7</v>
      </c>
      <c r="B12" s="5" t="s">
        <v>247</v>
      </c>
      <c r="C12" s="5" t="s">
        <v>248</v>
      </c>
      <c r="D12" s="5" t="s">
        <v>99</v>
      </c>
      <c r="E12" s="5">
        <v>1</v>
      </c>
      <c r="F12" s="6">
        <v>150</v>
      </c>
      <c r="G12" s="6">
        <v>150</v>
      </c>
      <c r="H12" s="6">
        <v>50</v>
      </c>
      <c r="I12" s="6">
        <v>50</v>
      </c>
      <c r="J12" s="5" t="s">
        <v>249</v>
      </c>
    </row>
    <row r="13" spans="1:10" x14ac:dyDescent="0.35">
      <c r="A13" s="5">
        <v>8</v>
      </c>
      <c r="B13" s="5" t="s">
        <v>142</v>
      </c>
      <c r="C13" s="5"/>
      <c r="D13" s="5" t="s">
        <v>99</v>
      </c>
      <c r="E13" s="5">
        <v>1</v>
      </c>
      <c r="F13" s="6">
        <v>361</v>
      </c>
      <c r="G13" s="6">
        <v>361</v>
      </c>
      <c r="H13" s="6">
        <v>29.05</v>
      </c>
      <c r="I13" s="6">
        <v>29.05</v>
      </c>
      <c r="J13" s="5" t="s">
        <v>106</v>
      </c>
    </row>
    <row r="14" spans="1:10" x14ac:dyDescent="0.35">
      <c r="A14" s="5">
        <v>9</v>
      </c>
      <c r="B14" s="5" t="s">
        <v>169</v>
      </c>
      <c r="C14" s="5" t="s">
        <v>170</v>
      </c>
      <c r="D14" s="5" t="s">
        <v>99</v>
      </c>
      <c r="E14" s="5">
        <v>4</v>
      </c>
      <c r="F14" s="6">
        <v>14</v>
      </c>
      <c r="G14" s="6">
        <v>56</v>
      </c>
      <c r="H14" s="6">
        <v>5.46</v>
      </c>
      <c r="I14" s="6">
        <v>21.84</v>
      </c>
      <c r="J14" s="5" t="s">
        <v>123</v>
      </c>
    </row>
    <row r="15" spans="1:10" x14ac:dyDescent="0.35">
      <c r="A15" s="5">
        <v>10</v>
      </c>
      <c r="B15" s="5" t="s">
        <v>250</v>
      </c>
      <c r="C15" s="5" t="s">
        <v>251</v>
      </c>
      <c r="D15" s="5" t="s">
        <v>99</v>
      </c>
      <c r="E15" s="5">
        <v>1</v>
      </c>
      <c r="F15" s="6">
        <v>236.25</v>
      </c>
      <c r="G15" s="6">
        <v>236.25</v>
      </c>
      <c r="H15" s="6">
        <v>200</v>
      </c>
      <c r="I15" s="6">
        <v>200</v>
      </c>
      <c r="J15" s="5" t="s">
        <v>106</v>
      </c>
    </row>
    <row r="16" spans="1:10" x14ac:dyDescent="0.35">
      <c r="A16" s="5">
        <v>11</v>
      </c>
      <c r="B16" s="5" t="s">
        <v>203</v>
      </c>
      <c r="C16" s="5" t="s">
        <v>111</v>
      </c>
      <c r="D16" s="5" t="s">
        <v>99</v>
      </c>
      <c r="E16" s="5">
        <v>1</v>
      </c>
      <c r="F16" s="6">
        <v>62.22</v>
      </c>
      <c r="G16" s="6">
        <v>62.22</v>
      </c>
      <c r="H16" s="6">
        <v>30.48</v>
      </c>
      <c r="I16" s="6">
        <v>30.48</v>
      </c>
      <c r="J16" s="5" t="s">
        <v>204</v>
      </c>
    </row>
    <row r="17" spans="1:10" x14ac:dyDescent="0.35">
      <c r="A17" s="5">
        <v>12</v>
      </c>
      <c r="B17" s="5" t="s">
        <v>171</v>
      </c>
      <c r="C17" s="5" t="s">
        <v>229</v>
      </c>
      <c r="D17" s="5" t="s">
        <v>99</v>
      </c>
      <c r="E17" s="5">
        <v>2</v>
      </c>
      <c r="F17" s="6">
        <v>91</v>
      </c>
      <c r="G17" s="6">
        <v>182</v>
      </c>
      <c r="H17" s="6">
        <v>19.059999999999999</v>
      </c>
      <c r="I17" s="6">
        <v>38.119999999999997</v>
      </c>
      <c r="J17" s="5" t="s">
        <v>123</v>
      </c>
    </row>
    <row r="18" spans="1:10" x14ac:dyDescent="0.35">
      <c r="A18" s="5">
        <v>13</v>
      </c>
      <c r="B18" s="5" t="s">
        <v>252</v>
      </c>
      <c r="C18" s="5" t="s">
        <v>253</v>
      </c>
      <c r="D18" s="5" t="s">
        <v>99</v>
      </c>
      <c r="E18" s="5">
        <v>1</v>
      </c>
      <c r="F18" s="6">
        <v>150</v>
      </c>
      <c r="G18" s="6">
        <v>150</v>
      </c>
      <c r="H18" s="6">
        <v>38.1</v>
      </c>
      <c r="I18" s="6">
        <v>38.1</v>
      </c>
      <c r="J18" s="5" t="s">
        <v>106</v>
      </c>
    </row>
    <row r="19" spans="1:10" x14ac:dyDescent="0.35">
      <c r="A19" s="5">
        <v>14</v>
      </c>
      <c r="B19" s="5" t="s">
        <v>234</v>
      </c>
      <c r="C19" s="5" t="s">
        <v>104</v>
      </c>
      <c r="D19" s="5" t="s">
        <v>99</v>
      </c>
      <c r="E19" s="5">
        <v>1</v>
      </c>
      <c r="F19" s="6">
        <v>7.48</v>
      </c>
      <c r="G19" s="6">
        <v>7.48</v>
      </c>
      <c r="H19" s="6">
        <v>4.29</v>
      </c>
      <c r="I19" s="6">
        <v>4.29</v>
      </c>
      <c r="J19" s="5" t="s">
        <v>100</v>
      </c>
    </row>
    <row r="20" spans="1:10" x14ac:dyDescent="0.35">
      <c r="A20" s="5">
        <v>15</v>
      </c>
      <c r="B20" s="5" t="s">
        <v>124</v>
      </c>
      <c r="C20" s="5" t="s">
        <v>125</v>
      </c>
      <c r="D20" s="5" t="s">
        <v>99</v>
      </c>
      <c r="E20" s="5">
        <v>1</v>
      </c>
      <c r="F20" s="6">
        <v>37.950000000000003</v>
      </c>
      <c r="G20" s="6">
        <v>37.950000000000003</v>
      </c>
      <c r="H20" s="6">
        <v>27</v>
      </c>
      <c r="I20" s="6">
        <v>27</v>
      </c>
      <c r="J20" s="5" t="s">
        <v>126</v>
      </c>
    </row>
    <row r="21" spans="1:10" x14ac:dyDescent="0.35">
      <c r="A21" s="5">
        <v>16</v>
      </c>
      <c r="B21" s="5" t="s">
        <v>254</v>
      </c>
      <c r="C21" s="5" t="s">
        <v>255</v>
      </c>
      <c r="D21" s="5" t="s">
        <v>99</v>
      </c>
      <c r="E21" s="5">
        <v>1</v>
      </c>
      <c r="F21" s="5" t="s">
        <v>129</v>
      </c>
      <c r="G21" s="5" t="s">
        <v>129</v>
      </c>
      <c r="H21" s="5" t="s">
        <v>129</v>
      </c>
      <c r="I21" s="5" t="s">
        <v>129</v>
      </c>
      <c r="J21" s="5" t="s">
        <v>130</v>
      </c>
    </row>
    <row r="22" spans="1:10" x14ac:dyDescent="0.35">
      <c r="A22" s="5">
        <v>17</v>
      </c>
      <c r="B22" s="5" t="s">
        <v>256</v>
      </c>
      <c r="C22" s="5" t="s">
        <v>257</v>
      </c>
      <c r="D22" s="5" t="s">
        <v>99</v>
      </c>
      <c r="E22" s="5">
        <v>1</v>
      </c>
      <c r="F22" s="5" t="s">
        <v>129</v>
      </c>
      <c r="G22" s="5" t="s">
        <v>129</v>
      </c>
      <c r="H22" s="5" t="s">
        <v>129</v>
      </c>
      <c r="I22" s="5" t="s">
        <v>129</v>
      </c>
      <c r="J22" s="5" t="s">
        <v>130</v>
      </c>
    </row>
    <row r="23" spans="1:10" x14ac:dyDescent="0.35">
      <c r="A23" s="5">
        <v>18</v>
      </c>
      <c r="B23" s="5" t="s">
        <v>258</v>
      </c>
      <c r="C23" s="5" t="s">
        <v>257</v>
      </c>
      <c r="D23" s="5" t="s">
        <v>99</v>
      </c>
      <c r="E23" s="5">
        <v>1</v>
      </c>
      <c r="F23" s="5" t="s">
        <v>129</v>
      </c>
      <c r="G23" s="5" t="s">
        <v>129</v>
      </c>
      <c r="H23" s="5" t="s">
        <v>129</v>
      </c>
      <c r="I23" s="5" t="s">
        <v>129</v>
      </c>
      <c r="J23" s="5" t="s">
        <v>130</v>
      </c>
    </row>
    <row r="24" spans="1:10" x14ac:dyDescent="0.35">
      <c r="A24" s="19" t="s">
        <v>95</v>
      </c>
      <c r="B24" s="16"/>
      <c r="C24" s="16"/>
      <c r="D24" s="16"/>
      <c r="E24" s="16"/>
      <c r="F24" s="16"/>
      <c r="G24" s="12">
        <v>1707.45</v>
      </c>
      <c r="H24" s="13"/>
      <c r="I24" s="12">
        <v>602.79999999999995</v>
      </c>
      <c r="J24" s="13"/>
    </row>
    <row r="26" spans="1:10" x14ac:dyDescent="0.35">
      <c r="A26" s="20" t="s">
        <v>96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11" t="s">
        <v>2</v>
      </c>
      <c r="B27" s="11" t="s">
        <v>85</v>
      </c>
      <c r="C27" s="11" t="s">
        <v>86</v>
      </c>
      <c r="D27" s="11" t="s">
        <v>87</v>
      </c>
      <c r="E27" s="11" t="s">
        <v>88</v>
      </c>
      <c r="F27" s="11" t="s">
        <v>89</v>
      </c>
      <c r="G27" s="11" t="s">
        <v>90</v>
      </c>
      <c r="H27" s="11" t="s">
        <v>91</v>
      </c>
      <c r="I27" s="11" t="s">
        <v>92</v>
      </c>
      <c r="J27" s="11" t="s">
        <v>93</v>
      </c>
    </row>
    <row r="28" spans="1:10" x14ac:dyDescent="0.35">
      <c r="B28" t="s">
        <v>94</v>
      </c>
    </row>
    <row r="29" spans="1:10" x14ac:dyDescent="0.35">
      <c r="A29" s="19" t="s">
        <v>143</v>
      </c>
      <c r="B29" s="16"/>
      <c r="C29" s="16"/>
      <c r="D29" s="16"/>
      <c r="E29" s="16"/>
      <c r="F29" s="16"/>
      <c r="G29" s="12">
        <v>0</v>
      </c>
      <c r="H29" s="13"/>
      <c r="I29" s="12"/>
      <c r="J29" s="13"/>
    </row>
    <row r="31" spans="1:10" x14ac:dyDescent="0.35">
      <c r="A31" s="20" t="s">
        <v>144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x14ac:dyDescent="0.35">
      <c r="A32" s="5">
        <v>1</v>
      </c>
      <c r="B32" s="5" t="s">
        <v>145</v>
      </c>
      <c r="C32" s="5" t="s">
        <v>146</v>
      </c>
      <c r="D32" s="5" t="s">
        <v>147</v>
      </c>
      <c r="E32" s="5">
        <v>1</v>
      </c>
      <c r="F32" s="6">
        <v>1000</v>
      </c>
      <c r="G32" s="6">
        <v>1000</v>
      </c>
      <c r="H32" s="5" t="s">
        <v>148</v>
      </c>
      <c r="I32" s="5" t="s">
        <v>148</v>
      </c>
      <c r="J32" s="5" t="s">
        <v>149</v>
      </c>
    </row>
    <row r="33" spans="1:10" x14ac:dyDescent="0.35">
      <c r="A33" s="19" t="s">
        <v>150</v>
      </c>
      <c r="B33" s="16"/>
      <c r="C33" s="16"/>
      <c r="D33" s="16"/>
      <c r="E33" s="16"/>
      <c r="F33" s="16"/>
      <c r="G33" s="12">
        <v>1000</v>
      </c>
      <c r="H33" s="13"/>
      <c r="I33" s="13"/>
      <c r="J33" s="13"/>
    </row>
    <row r="35" spans="1:10" x14ac:dyDescent="0.35">
      <c r="A35" s="20" t="s">
        <v>151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5">
      <c r="A36" s="5">
        <v>1</v>
      </c>
      <c r="B36" s="5" t="s">
        <v>152</v>
      </c>
      <c r="C36" s="5" t="s">
        <v>153</v>
      </c>
      <c r="D36" s="5" t="s">
        <v>148</v>
      </c>
      <c r="E36" s="5">
        <v>1</v>
      </c>
      <c r="F36" s="6">
        <v>1500</v>
      </c>
      <c r="G36" s="6">
        <v>1500</v>
      </c>
      <c r="H36" s="5" t="s">
        <v>148</v>
      </c>
      <c r="I36" s="5" t="s">
        <v>148</v>
      </c>
      <c r="J36" s="5" t="s">
        <v>149</v>
      </c>
    </row>
    <row r="37" spans="1:10" x14ac:dyDescent="0.35">
      <c r="A37" s="19" t="s">
        <v>154</v>
      </c>
      <c r="B37" s="16"/>
      <c r="C37" s="16"/>
      <c r="D37" s="16"/>
      <c r="E37" s="16"/>
      <c r="F37" s="16"/>
      <c r="G37" s="12">
        <v>1500</v>
      </c>
      <c r="H37" s="13"/>
      <c r="I37" s="13"/>
      <c r="J37" s="13"/>
    </row>
    <row r="39" spans="1:10" x14ac:dyDescent="0.35">
      <c r="A39" s="15" t="s">
        <v>155</v>
      </c>
      <c r="B39" s="16"/>
      <c r="C39" s="16"/>
      <c r="D39" s="16"/>
      <c r="E39" s="16"/>
      <c r="F39" s="16"/>
      <c r="G39" s="9">
        <v>4207.45</v>
      </c>
      <c r="H39" s="7" t="s">
        <v>259</v>
      </c>
      <c r="I39" s="8"/>
      <c r="J39" s="8"/>
    </row>
    <row r="41" spans="1:10" x14ac:dyDescent="0.35">
      <c r="A41" s="1" t="s">
        <v>231</v>
      </c>
    </row>
    <row r="42" spans="1:10" x14ac:dyDescent="0.35">
      <c r="A42" s="14" t="s">
        <v>260</v>
      </c>
    </row>
  </sheetData>
  <mergeCells count="10">
    <mergeCell ref="A39:F39"/>
    <mergeCell ref="A29:F29"/>
    <mergeCell ref="A24:F24"/>
    <mergeCell ref="A33:F33"/>
    <mergeCell ref="A1:J1"/>
    <mergeCell ref="A31:J31"/>
    <mergeCell ref="A37:F37"/>
    <mergeCell ref="A35:J35"/>
    <mergeCell ref="A4:J4"/>
    <mergeCell ref="A26:J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4"/>
  <sheetViews>
    <sheetView workbookViewId="0">
      <selection activeCell="B12" sqref="B12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269</v>
      </c>
      <c r="E2" t="s">
        <v>270</v>
      </c>
      <c r="G2" t="s">
        <v>266</v>
      </c>
      <c r="I2" t="s">
        <v>185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167</v>
      </c>
      <c r="C6" s="5" t="s">
        <v>271</v>
      </c>
      <c r="D6" s="5" t="s">
        <v>99</v>
      </c>
      <c r="E6" s="5">
        <v>1</v>
      </c>
      <c r="F6" s="6">
        <v>37.950000000000003</v>
      </c>
      <c r="G6" s="6">
        <v>37.950000000000003</v>
      </c>
      <c r="H6" s="6">
        <v>27</v>
      </c>
      <c r="I6" s="6">
        <v>27</v>
      </c>
      <c r="J6" s="5" t="s">
        <v>126</v>
      </c>
    </row>
    <row r="7" spans="1:10" x14ac:dyDescent="0.35">
      <c r="A7" s="5">
        <v>2</v>
      </c>
      <c r="B7" s="5" t="s">
        <v>272</v>
      </c>
      <c r="C7" s="5" t="s">
        <v>273</v>
      </c>
      <c r="D7" s="5" t="s">
        <v>99</v>
      </c>
      <c r="E7" s="5">
        <v>1</v>
      </c>
      <c r="F7" s="6">
        <v>236.25</v>
      </c>
      <c r="G7" s="6">
        <v>236.25</v>
      </c>
      <c r="H7" s="6">
        <v>200</v>
      </c>
      <c r="I7" s="6">
        <v>200</v>
      </c>
      <c r="J7" s="5" t="s">
        <v>274</v>
      </c>
    </row>
    <row r="8" spans="1:10" x14ac:dyDescent="0.35">
      <c r="A8" s="5">
        <v>3</v>
      </c>
      <c r="B8" s="5" t="s">
        <v>140</v>
      </c>
      <c r="C8" s="5" t="s">
        <v>141</v>
      </c>
      <c r="D8" s="5" t="s">
        <v>99</v>
      </c>
      <c r="E8" s="5">
        <v>1</v>
      </c>
      <c r="F8" s="6">
        <v>236.25</v>
      </c>
      <c r="G8" s="6">
        <v>236.25</v>
      </c>
      <c r="H8" s="6">
        <v>200</v>
      </c>
      <c r="I8" s="6">
        <v>200</v>
      </c>
      <c r="J8" s="5" t="s">
        <v>106</v>
      </c>
    </row>
    <row r="9" spans="1:10" x14ac:dyDescent="0.35">
      <c r="A9" s="5">
        <v>4</v>
      </c>
      <c r="B9" s="5" t="s">
        <v>169</v>
      </c>
      <c r="C9" s="5" t="s">
        <v>170</v>
      </c>
      <c r="D9" s="5" t="s">
        <v>99</v>
      </c>
      <c r="E9" s="5">
        <v>12</v>
      </c>
      <c r="F9" s="6">
        <v>14</v>
      </c>
      <c r="G9" s="6">
        <v>168</v>
      </c>
      <c r="H9" s="6">
        <v>5.46</v>
      </c>
      <c r="I9" s="6">
        <v>65.52</v>
      </c>
      <c r="J9" s="5" t="s">
        <v>123</v>
      </c>
    </row>
    <row r="10" spans="1:10" x14ac:dyDescent="0.35">
      <c r="A10" s="5">
        <v>5</v>
      </c>
      <c r="B10" s="5" t="s">
        <v>275</v>
      </c>
      <c r="C10" s="5" t="s">
        <v>276</v>
      </c>
      <c r="D10" s="5" t="s">
        <v>99</v>
      </c>
      <c r="E10" s="5">
        <v>1</v>
      </c>
      <c r="F10" s="6">
        <v>710</v>
      </c>
      <c r="G10" s="6">
        <v>710</v>
      </c>
      <c r="H10" s="5" t="s">
        <v>129</v>
      </c>
      <c r="I10" s="5" t="s">
        <v>129</v>
      </c>
      <c r="J10" s="5" t="s">
        <v>277</v>
      </c>
    </row>
    <row r="11" spans="1:10" x14ac:dyDescent="0.35">
      <c r="A11" s="5">
        <v>6</v>
      </c>
      <c r="B11" s="5" t="s">
        <v>278</v>
      </c>
      <c r="C11" s="5" t="s">
        <v>279</v>
      </c>
      <c r="D11" s="5" t="s">
        <v>99</v>
      </c>
      <c r="E11" s="5">
        <v>6</v>
      </c>
      <c r="F11" s="6">
        <v>91</v>
      </c>
      <c r="G11" s="6">
        <v>546</v>
      </c>
      <c r="H11" s="6">
        <v>19.059999999999999</v>
      </c>
      <c r="I11" s="6">
        <v>114.36</v>
      </c>
      <c r="J11" s="5" t="s">
        <v>123</v>
      </c>
    </row>
    <row r="12" spans="1:10" x14ac:dyDescent="0.35">
      <c r="A12" s="5">
        <v>7</v>
      </c>
      <c r="B12" s="5" t="s">
        <v>280</v>
      </c>
      <c r="C12" s="5" t="s">
        <v>281</v>
      </c>
      <c r="D12" s="5" t="s">
        <v>99</v>
      </c>
      <c r="E12" s="5">
        <v>1</v>
      </c>
      <c r="F12" s="6">
        <v>277</v>
      </c>
      <c r="G12" s="6">
        <v>277</v>
      </c>
      <c r="H12" s="6">
        <v>49.52</v>
      </c>
      <c r="I12" s="6">
        <v>49.52</v>
      </c>
      <c r="J12" s="5" t="s">
        <v>199</v>
      </c>
    </row>
    <row r="13" spans="1:10" x14ac:dyDescent="0.35">
      <c r="A13" s="5">
        <v>8</v>
      </c>
      <c r="B13" s="5" t="s">
        <v>282</v>
      </c>
      <c r="C13" s="5" t="s">
        <v>283</v>
      </c>
      <c r="D13" s="5" t="s">
        <v>99</v>
      </c>
      <c r="E13" s="5">
        <v>1</v>
      </c>
      <c r="F13" s="6">
        <v>72.2</v>
      </c>
      <c r="G13" s="6">
        <v>72.2</v>
      </c>
      <c r="H13" s="6">
        <v>50.54</v>
      </c>
      <c r="I13" s="6">
        <v>50.54</v>
      </c>
      <c r="J13" s="5" t="s">
        <v>284</v>
      </c>
    </row>
    <row r="14" spans="1:10" x14ac:dyDescent="0.35">
      <c r="A14" s="5">
        <v>9</v>
      </c>
      <c r="B14" s="5" t="s">
        <v>285</v>
      </c>
      <c r="C14" s="5" t="s">
        <v>279</v>
      </c>
      <c r="D14" s="5" t="s">
        <v>99</v>
      </c>
      <c r="E14" s="5">
        <v>7</v>
      </c>
      <c r="F14" s="6">
        <v>91</v>
      </c>
      <c r="G14" s="6">
        <v>637</v>
      </c>
      <c r="H14" s="6">
        <v>19.059999999999999</v>
      </c>
      <c r="I14" s="6">
        <v>133.41999999999999</v>
      </c>
      <c r="J14" s="5" t="s">
        <v>123</v>
      </c>
    </row>
    <row r="15" spans="1:10" x14ac:dyDescent="0.35">
      <c r="A15" s="5">
        <v>10</v>
      </c>
      <c r="B15" s="5" t="s">
        <v>138</v>
      </c>
      <c r="C15" s="5" t="s">
        <v>139</v>
      </c>
      <c r="D15" s="5" t="s">
        <v>99</v>
      </c>
      <c r="E15" s="5">
        <v>5</v>
      </c>
      <c r="F15" s="5" t="s">
        <v>129</v>
      </c>
      <c r="G15" s="5" t="s">
        <v>129</v>
      </c>
      <c r="H15" s="5" t="s">
        <v>129</v>
      </c>
      <c r="I15" s="5" t="s">
        <v>129</v>
      </c>
      <c r="J15" s="5" t="s">
        <v>130</v>
      </c>
    </row>
    <row r="16" spans="1:10" x14ac:dyDescent="0.35">
      <c r="A16" s="5">
        <v>11</v>
      </c>
      <c r="B16" s="5" t="s">
        <v>169</v>
      </c>
      <c r="C16" s="5" t="s">
        <v>170</v>
      </c>
      <c r="D16" s="5" t="s">
        <v>99</v>
      </c>
      <c r="E16" s="5">
        <v>1</v>
      </c>
      <c r="F16" s="6">
        <v>14</v>
      </c>
      <c r="G16" s="6">
        <v>14</v>
      </c>
      <c r="H16" s="6">
        <v>5.46</v>
      </c>
      <c r="I16" s="6">
        <v>5.46</v>
      </c>
      <c r="J16" s="5" t="s">
        <v>123</v>
      </c>
    </row>
    <row r="17" spans="1:10" x14ac:dyDescent="0.35">
      <c r="A17" s="5">
        <v>12</v>
      </c>
      <c r="B17" s="5" t="s">
        <v>140</v>
      </c>
      <c r="C17" s="5" t="s">
        <v>141</v>
      </c>
      <c r="D17" s="5" t="s">
        <v>99</v>
      </c>
      <c r="E17" s="5">
        <v>2</v>
      </c>
      <c r="F17" s="6">
        <v>236.25</v>
      </c>
      <c r="G17" s="6">
        <v>472.5</v>
      </c>
      <c r="H17" s="6">
        <v>200</v>
      </c>
      <c r="I17" s="6">
        <v>400</v>
      </c>
      <c r="J17" s="5" t="s">
        <v>106</v>
      </c>
    </row>
    <row r="18" spans="1:10" x14ac:dyDescent="0.35">
      <c r="A18" s="19" t="s">
        <v>95</v>
      </c>
      <c r="B18" s="16"/>
      <c r="C18" s="16"/>
      <c r="D18" s="16"/>
      <c r="E18" s="16"/>
      <c r="F18" s="16"/>
      <c r="G18" s="12">
        <v>3407.15</v>
      </c>
      <c r="H18" s="13"/>
      <c r="I18" s="12">
        <v>1245.82</v>
      </c>
      <c r="J18" s="13"/>
    </row>
    <row r="20" spans="1:10" x14ac:dyDescent="0.35">
      <c r="A20" s="20" t="s">
        <v>96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x14ac:dyDescent="0.35">
      <c r="A21" s="11" t="s">
        <v>2</v>
      </c>
      <c r="B21" s="11" t="s">
        <v>85</v>
      </c>
      <c r="C21" s="11" t="s">
        <v>86</v>
      </c>
      <c r="D21" s="11" t="s">
        <v>87</v>
      </c>
      <c r="E21" s="11" t="s">
        <v>88</v>
      </c>
      <c r="F21" s="11" t="s">
        <v>89</v>
      </c>
      <c r="G21" s="11" t="s">
        <v>90</v>
      </c>
      <c r="H21" s="11" t="s">
        <v>91</v>
      </c>
      <c r="I21" s="11" t="s">
        <v>92</v>
      </c>
      <c r="J21" s="11" t="s">
        <v>93</v>
      </c>
    </row>
    <row r="22" spans="1:10" x14ac:dyDescent="0.35">
      <c r="A22" s="5">
        <v>1</v>
      </c>
      <c r="B22" s="5" t="s">
        <v>286</v>
      </c>
      <c r="C22" s="5" t="s">
        <v>287</v>
      </c>
      <c r="D22" s="5" t="s">
        <v>99</v>
      </c>
      <c r="E22" s="5">
        <v>1</v>
      </c>
      <c r="F22" s="6">
        <v>132.15</v>
      </c>
      <c r="G22" s="6">
        <v>132.15</v>
      </c>
      <c r="H22" s="6">
        <v>97.14</v>
      </c>
      <c r="I22" s="6">
        <v>97.14</v>
      </c>
      <c r="J22" s="5" t="s">
        <v>100</v>
      </c>
    </row>
    <row r="23" spans="1:10" x14ac:dyDescent="0.35">
      <c r="A23" s="5">
        <v>2</v>
      </c>
      <c r="B23" s="5" t="s">
        <v>288</v>
      </c>
      <c r="C23" s="5"/>
      <c r="D23" s="5" t="s">
        <v>99</v>
      </c>
      <c r="E23" s="5">
        <v>1</v>
      </c>
      <c r="F23" s="6">
        <v>13.4</v>
      </c>
      <c r="G23" s="6">
        <v>13.4</v>
      </c>
      <c r="H23" s="5" t="s">
        <v>129</v>
      </c>
      <c r="I23" s="5" t="s">
        <v>129</v>
      </c>
      <c r="J23" s="5" t="s">
        <v>289</v>
      </c>
    </row>
    <row r="24" spans="1:10" x14ac:dyDescent="0.35">
      <c r="A24" s="5">
        <v>3</v>
      </c>
      <c r="B24" s="5" t="s">
        <v>290</v>
      </c>
      <c r="C24" s="5" t="s">
        <v>291</v>
      </c>
      <c r="D24" s="5" t="s">
        <v>99</v>
      </c>
      <c r="E24" s="5">
        <v>1</v>
      </c>
      <c r="F24" s="6">
        <v>326.22000000000003</v>
      </c>
      <c r="G24" s="6">
        <v>326.22000000000003</v>
      </c>
      <c r="H24" s="6">
        <v>95.24</v>
      </c>
      <c r="I24" s="6">
        <v>95.24</v>
      </c>
      <c r="J24" s="5" t="s">
        <v>106</v>
      </c>
    </row>
    <row r="25" spans="1:10" x14ac:dyDescent="0.35">
      <c r="A25" s="5">
        <v>4</v>
      </c>
      <c r="B25" s="5" t="s">
        <v>234</v>
      </c>
      <c r="C25" s="5" t="s">
        <v>104</v>
      </c>
      <c r="D25" s="5" t="s">
        <v>99</v>
      </c>
      <c r="E25" s="5">
        <v>1</v>
      </c>
      <c r="F25" s="6">
        <v>7.48</v>
      </c>
      <c r="G25" s="6">
        <v>7.48</v>
      </c>
      <c r="H25" s="6">
        <v>4.29</v>
      </c>
      <c r="I25" s="6">
        <v>4.29</v>
      </c>
      <c r="J25" s="5" t="s">
        <v>100</v>
      </c>
    </row>
    <row r="26" spans="1:10" x14ac:dyDescent="0.35">
      <c r="A26" s="5">
        <v>5</v>
      </c>
      <c r="B26" s="5" t="s">
        <v>235</v>
      </c>
      <c r="C26" s="5" t="s">
        <v>102</v>
      </c>
      <c r="D26" s="5" t="s">
        <v>99</v>
      </c>
      <c r="E26" s="5">
        <v>1</v>
      </c>
      <c r="F26" s="6">
        <v>12.72</v>
      </c>
      <c r="G26" s="6">
        <v>12.72</v>
      </c>
      <c r="H26" s="6">
        <v>4.8499999999999996</v>
      </c>
      <c r="I26" s="6">
        <v>4.8499999999999996</v>
      </c>
      <c r="J26" s="5" t="s">
        <v>100</v>
      </c>
    </row>
    <row r="27" spans="1:10" x14ac:dyDescent="0.35">
      <c r="A27" s="5">
        <v>6</v>
      </c>
      <c r="B27" s="5" t="s">
        <v>137</v>
      </c>
      <c r="C27" s="5"/>
      <c r="D27" s="5" t="s">
        <v>99</v>
      </c>
      <c r="E27" s="5">
        <v>1</v>
      </c>
      <c r="F27" s="6">
        <v>201</v>
      </c>
      <c r="G27" s="6">
        <v>201</v>
      </c>
      <c r="H27" s="6">
        <v>10.48</v>
      </c>
      <c r="I27" s="6">
        <v>10.48</v>
      </c>
      <c r="J27" s="5" t="s">
        <v>106</v>
      </c>
    </row>
    <row r="28" spans="1:10" x14ac:dyDescent="0.35">
      <c r="A28" s="5">
        <v>7</v>
      </c>
      <c r="B28" s="5" t="s">
        <v>292</v>
      </c>
      <c r="C28" s="5" t="s">
        <v>163</v>
      </c>
      <c r="D28" s="5" t="s">
        <v>99</v>
      </c>
      <c r="E28" s="5">
        <v>1</v>
      </c>
      <c r="F28" s="6">
        <v>202.55</v>
      </c>
      <c r="G28" s="6">
        <v>202.55</v>
      </c>
      <c r="H28" s="6">
        <v>7.14</v>
      </c>
      <c r="I28" s="6">
        <v>7.14</v>
      </c>
      <c r="J28" s="5" t="s">
        <v>106</v>
      </c>
    </row>
    <row r="29" spans="1:10" x14ac:dyDescent="0.35">
      <c r="A29" s="5">
        <v>8</v>
      </c>
      <c r="B29" s="5" t="s">
        <v>134</v>
      </c>
      <c r="C29" s="5" t="s">
        <v>135</v>
      </c>
      <c r="D29" s="5" t="s">
        <v>99</v>
      </c>
      <c r="E29" s="5">
        <v>1</v>
      </c>
      <c r="F29" s="6">
        <v>5</v>
      </c>
      <c r="G29" s="6">
        <v>5</v>
      </c>
      <c r="H29" s="6">
        <v>300</v>
      </c>
      <c r="I29" s="6">
        <v>300</v>
      </c>
      <c r="J29" s="5" t="s">
        <v>136</v>
      </c>
    </row>
    <row r="30" spans="1:10" x14ac:dyDescent="0.35">
      <c r="A30" s="5">
        <v>9</v>
      </c>
      <c r="B30" s="5" t="s">
        <v>293</v>
      </c>
      <c r="C30" s="5" t="s">
        <v>294</v>
      </c>
      <c r="D30" s="5" t="s">
        <v>99</v>
      </c>
      <c r="E30" s="5">
        <v>1</v>
      </c>
      <c r="F30" s="6">
        <v>39.049999999999997</v>
      </c>
      <c r="G30" s="6">
        <v>39.049999999999997</v>
      </c>
      <c r="H30" s="6">
        <v>16.670000000000002</v>
      </c>
      <c r="I30" s="6">
        <v>16.670000000000002</v>
      </c>
      <c r="J30" s="5" t="s">
        <v>100</v>
      </c>
    </row>
    <row r="31" spans="1:10" x14ac:dyDescent="0.35">
      <c r="A31" s="5">
        <v>10</v>
      </c>
      <c r="B31" s="5" t="s">
        <v>295</v>
      </c>
      <c r="C31" s="5" t="s">
        <v>296</v>
      </c>
      <c r="D31" s="5" t="s">
        <v>99</v>
      </c>
      <c r="E31" s="5">
        <v>2</v>
      </c>
      <c r="F31" s="6">
        <v>10.23</v>
      </c>
      <c r="G31" s="6">
        <v>20.46</v>
      </c>
      <c r="H31" s="6">
        <v>2.38</v>
      </c>
      <c r="I31" s="6">
        <v>4.76</v>
      </c>
      <c r="J31" s="5" t="s">
        <v>106</v>
      </c>
    </row>
    <row r="32" spans="1:10" x14ac:dyDescent="0.35">
      <c r="A32" s="5">
        <v>11</v>
      </c>
      <c r="B32" s="5" t="s">
        <v>297</v>
      </c>
      <c r="C32" s="5" t="s">
        <v>298</v>
      </c>
      <c r="D32" s="5" t="s">
        <v>99</v>
      </c>
      <c r="E32" s="5">
        <v>2</v>
      </c>
      <c r="F32" s="6">
        <v>20</v>
      </c>
      <c r="G32" s="6">
        <v>40</v>
      </c>
      <c r="H32" s="6">
        <v>3.76</v>
      </c>
      <c r="I32" s="6">
        <v>7.52</v>
      </c>
      <c r="J32" s="5" t="s">
        <v>106</v>
      </c>
    </row>
    <row r="33" spans="1:10" x14ac:dyDescent="0.35">
      <c r="A33" s="5">
        <v>12</v>
      </c>
      <c r="B33" s="5" t="s">
        <v>299</v>
      </c>
      <c r="C33" s="5" t="s">
        <v>300</v>
      </c>
      <c r="D33" s="5" t="s">
        <v>99</v>
      </c>
      <c r="E33" s="5">
        <v>2</v>
      </c>
      <c r="F33" s="6">
        <v>6.04</v>
      </c>
      <c r="G33" s="6">
        <v>12.08</v>
      </c>
      <c r="H33" s="6">
        <v>1.9</v>
      </c>
      <c r="I33" s="6">
        <v>3.8</v>
      </c>
      <c r="J33" s="5" t="s">
        <v>106</v>
      </c>
    </row>
    <row r="34" spans="1:10" x14ac:dyDescent="0.35">
      <c r="A34" s="5">
        <v>13</v>
      </c>
      <c r="B34" s="5" t="s">
        <v>301</v>
      </c>
      <c r="C34" s="5" t="s">
        <v>98</v>
      </c>
      <c r="D34" s="5" t="s">
        <v>99</v>
      </c>
      <c r="E34" s="5">
        <v>3</v>
      </c>
      <c r="F34" s="6">
        <v>66.64</v>
      </c>
      <c r="G34" s="6">
        <v>199.92</v>
      </c>
      <c r="H34" s="6">
        <v>25.71</v>
      </c>
      <c r="I34" s="6">
        <v>77.13</v>
      </c>
      <c r="J34" s="5" t="s">
        <v>302</v>
      </c>
    </row>
    <row r="35" spans="1:10" x14ac:dyDescent="0.35">
      <c r="A35" s="5">
        <v>14</v>
      </c>
      <c r="B35" s="5" t="s">
        <v>303</v>
      </c>
      <c r="C35" s="5" t="s">
        <v>198</v>
      </c>
      <c r="D35" s="5" t="s">
        <v>99</v>
      </c>
      <c r="E35" s="5">
        <v>2</v>
      </c>
      <c r="F35" s="6">
        <v>53.9</v>
      </c>
      <c r="G35" s="6">
        <v>107.8</v>
      </c>
      <c r="H35" s="6">
        <v>41.07</v>
      </c>
      <c r="I35" s="6">
        <v>82.14</v>
      </c>
      <c r="J35" s="5" t="s">
        <v>304</v>
      </c>
    </row>
    <row r="36" spans="1:10" x14ac:dyDescent="0.35">
      <c r="A36" s="5">
        <v>15</v>
      </c>
      <c r="B36" s="5" t="s">
        <v>305</v>
      </c>
      <c r="C36" s="5" t="s">
        <v>102</v>
      </c>
      <c r="D36" s="5" t="s">
        <v>99</v>
      </c>
      <c r="E36" s="5">
        <v>3</v>
      </c>
      <c r="F36" s="6">
        <v>12.72</v>
      </c>
      <c r="G36" s="6">
        <v>38.159999999999997</v>
      </c>
      <c r="H36" s="6">
        <v>4.8499999999999996</v>
      </c>
      <c r="I36" s="6">
        <v>14.55</v>
      </c>
      <c r="J36" s="5" t="s">
        <v>100</v>
      </c>
    </row>
    <row r="37" spans="1:10" x14ac:dyDescent="0.35">
      <c r="A37" s="5">
        <v>16</v>
      </c>
      <c r="B37" s="5" t="s">
        <v>306</v>
      </c>
      <c r="C37" s="5" t="s">
        <v>307</v>
      </c>
      <c r="D37" s="5" t="s">
        <v>99</v>
      </c>
      <c r="E37" s="5">
        <v>2</v>
      </c>
      <c r="F37" s="6">
        <v>23.8</v>
      </c>
      <c r="G37" s="6">
        <v>47.6</v>
      </c>
      <c r="H37" s="6">
        <v>8.57</v>
      </c>
      <c r="I37" s="6">
        <v>17.14</v>
      </c>
      <c r="J37" s="5" t="s">
        <v>238</v>
      </c>
    </row>
    <row r="38" spans="1:10" x14ac:dyDescent="0.35">
      <c r="A38" s="5">
        <v>17</v>
      </c>
      <c r="B38" s="5" t="s">
        <v>164</v>
      </c>
      <c r="C38" s="5" t="s">
        <v>115</v>
      </c>
      <c r="D38" s="5" t="s">
        <v>99</v>
      </c>
      <c r="E38" s="5">
        <v>1</v>
      </c>
      <c r="F38" s="6">
        <v>39.049999999999997</v>
      </c>
      <c r="G38" s="6">
        <v>39.049999999999997</v>
      </c>
      <c r="H38" s="6">
        <v>16.670000000000002</v>
      </c>
      <c r="I38" s="6">
        <v>16.670000000000002</v>
      </c>
      <c r="J38" s="5" t="s">
        <v>100</v>
      </c>
    </row>
    <row r="39" spans="1:10" x14ac:dyDescent="0.35">
      <c r="A39" s="5">
        <v>18</v>
      </c>
      <c r="B39" s="5" t="s">
        <v>205</v>
      </c>
      <c r="C39" s="5" t="s">
        <v>206</v>
      </c>
      <c r="D39" s="5" t="s">
        <v>99</v>
      </c>
      <c r="E39" s="5">
        <v>1</v>
      </c>
      <c r="F39" s="6">
        <v>63.3</v>
      </c>
      <c r="G39" s="6">
        <v>63.3</v>
      </c>
      <c r="H39" s="6">
        <v>17.62</v>
      </c>
      <c r="I39" s="6">
        <v>17.62</v>
      </c>
      <c r="J39" s="5" t="s">
        <v>100</v>
      </c>
    </row>
    <row r="40" spans="1:10" x14ac:dyDescent="0.35">
      <c r="A40" s="5">
        <v>19</v>
      </c>
      <c r="B40" s="5" t="s">
        <v>308</v>
      </c>
      <c r="C40" s="5" t="s">
        <v>309</v>
      </c>
      <c r="D40" s="5" t="s">
        <v>99</v>
      </c>
      <c r="E40" s="5">
        <v>1</v>
      </c>
      <c r="F40" s="6">
        <v>174</v>
      </c>
      <c r="G40" s="6">
        <v>174</v>
      </c>
      <c r="H40" s="6">
        <v>120.95</v>
      </c>
      <c r="I40" s="6">
        <v>120.95</v>
      </c>
      <c r="J40" s="5" t="s">
        <v>133</v>
      </c>
    </row>
    <row r="41" spans="1:10" x14ac:dyDescent="0.35">
      <c r="A41" s="5">
        <v>20</v>
      </c>
      <c r="B41" s="5" t="s">
        <v>132</v>
      </c>
      <c r="C41" s="5"/>
      <c r="D41" s="5" t="s">
        <v>99</v>
      </c>
      <c r="E41" s="5">
        <v>1</v>
      </c>
      <c r="F41" s="6">
        <v>321</v>
      </c>
      <c r="G41" s="6">
        <v>321</v>
      </c>
      <c r="H41" s="6">
        <v>55</v>
      </c>
      <c r="I41" s="6">
        <v>55</v>
      </c>
      <c r="J41" s="5" t="s">
        <v>133</v>
      </c>
    </row>
    <row r="42" spans="1:10" x14ac:dyDescent="0.35">
      <c r="A42" s="5">
        <v>21</v>
      </c>
      <c r="B42" s="5" t="s">
        <v>137</v>
      </c>
      <c r="C42" s="5"/>
      <c r="D42" s="5" t="s">
        <v>99</v>
      </c>
      <c r="E42" s="5">
        <v>1</v>
      </c>
      <c r="F42" s="6">
        <v>201</v>
      </c>
      <c r="G42" s="6">
        <v>201</v>
      </c>
      <c r="H42" s="6">
        <v>10.48</v>
      </c>
      <c r="I42" s="6">
        <v>10.48</v>
      </c>
      <c r="J42" s="5" t="s">
        <v>106</v>
      </c>
    </row>
    <row r="43" spans="1:10" x14ac:dyDescent="0.35">
      <c r="A43" s="5">
        <v>22</v>
      </c>
      <c r="B43" s="5" t="s">
        <v>119</v>
      </c>
      <c r="C43" s="5" t="s">
        <v>268</v>
      </c>
      <c r="D43" s="5" t="s">
        <v>99</v>
      </c>
      <c r="E43" s="5">
        <v>2</v>
      </c>
      <c r="F43" s="6">
        <v>21</v>
      </c>
      <c r="G43" s="6">
        <v>42</v>
      </c>
      <c r="H43" s="6">
        <v>13</v>
      </c>
      <c r="I43" s="6">
        <v>26</v>
      </c>
      <c r="J43" s="5" t="s">
        <v>120</v>
      </c>
    </row>
    <row r="44" spans="1:10" x14ac:dyDescent="0.35">
      <c r="A44" s="5">
        <v>23</v>
      </c>
      <c r="B44" s="5" t="s">
        <v>295</v>
      </c>
      <c r="C44" s="5" t="s">
        <v>296</v>
      </c>
      <c r="D44" s="5" t="s">
        <v>99</v>
      </c>
      <c r="E44" s="5">
        <v>2</v>
      </c>
      <c r="F44" s="6">
        <v>10.23</v>
      </c>
      <c r="G44" s="6">
        <v>20.46</v>
      </c>
      <c r="H44" s="6">
        <v>2.38</v>
      </c>
      <c r="I44" s="6">
        <v>4.76</v>
      </c>
      <c r="J44" s="5" t="s">
        <v>106</v>
      </c>
    </row>
    <row r="45" spans="1:10" x14ac:dyDescent="0.35">
      <c r="A45" s="5">
        <v>24</v>
      </c>
      <c r="B45" s="5" t="s">
        <v>297</v>
      </c>
      <c r="C45" s="5" t="s">
        <v>298</v>
      </c>
      <c r="D45" s="5" t="s">
        <v>99</v>
      </c>
      <c r="E45" s="5">
        <v>2</v>
      </c>
      <c r="F45" s="6">
        <v>20</v>
      </c>
      <c r="G45" s="6">
        <v>40</v>
      </c>
      <c r="H45" s="6">
        <v>3.76</v>
      </c>
      <c r="I45" s="6">
        <v>7.52</v>
      </c>
      <c r="J45" s="5" t="s">
        <v>106</v>
      </c>
    </row>
    <row r="46" spans="1:10" x14ac:dyDescent="0.35">
      <c r="A46" s="5">
        <v>25</v>
      </c>
      <c r="B46" s="5" t="s">
        <v>299</v>
      </c>
      <c r="C46" s="5" t="s">
        <v>300</v>
      </c>
      <c r="D46" s="5" t="s">
        <v>99</v>
      </c>
      <c r="E46" s="5">
        <v>1</v>
      </c>
      <c r="F46" s="6">
        <v>6.04</v>
      </c>
      <c r="G46" s="6">
        <v>6.04</v>
      </c>
      <c r="H46" s="6">
        <v>1.9</v>
      </c>
      <c r="I46" s="6">
        <v>1.9</v>
      </c>
      <c r="J46" s="5" t="s">
        <v>106</v>
      </c>
    </row>
    <row r="47" spans="1:10" x14ac:dyDescent="0.35">
      <c r="A47" s="5">
        <v>26</v>
      </c>
      <c r="B47" s="5" t="s">
        <v>310</v>
      </c>
      <c r="C47" s="5" t="s">
        <v>311</v>
      </c>
      <c r="D47" s="5" t="s">
        <v>99</v>
      </c>
      <c r="E47" s="5">
        <v>1</v>
      </c>
      <c r="F47" s="6">
        <v>132.15</v>
      </c>
      <c r="G47" s="6">
        <v>132.15</v>
      </c>
      <c r="H47" s="6">
        <v>97.14</v>
      </c>
      <c r="I47" s="6">
        <v>97.14</v>
      </c>
      <c r="J47" s="5" t="s">
        <v>100</v>
      </c>
    </row>
    <row r="48" spans="1:10" x14ac:dyDescent="0.35">
      <c r="A48" s="5">
        <v>27</v>
      </c>
      <c r="B48" s="5" t="s">
        <v>312</v>
      </c>
      <c r="C48" s="5" t="s">
        <v>245</v>
      </c>
      <c r="D48" s="5" t="s">
        <v>99</v>
      </c>
      <c r="E48" s="5">
        <v>1</v>
      </c>
      <c r="F48" s="6">
        <v>200</v>
      </c>
      <c r="G48" s="6">
        <v>200</v>
      </c>
      <c r="H48" s="6">
        <v>140</v>
      </c>
      <c r="I48" s="6">
        <v>140</v>
      </c>
      <c r="J48" s="5" t="s">
        <v>246</v>
      </c>
    </row>
    <row r="49" spans="1:10" x14ac:dyDescent="0.35">
      <c r="A49" s="5">
        <v>28</v>
      </c>
      <c r="B49" s="5" t="s">
        <v>313</v>
      </c>
      <c r="C49" s="5" t="s">
        <v>314</v>
      </c>
      <c r="D49" s="5" t="s">
        <v>99</v>
      </c>
      <c r="E49" s="5">
        <v>1</v>
      </c>
      <c r="F49" s="6">
        <v>31.03</v>
      </c>
      <c r="G49" s="6">
        <v>31.03</v>
      </c>
      <c r="H49" s="6">
        <v>23.81</v>
      </c>
      <c r="I49" s="6">
        <v>23.81</v>
      </c>
      <c r="J49" s="5" t="s">
        <v>189</v>
      </c>
    </row>
    <row r="50" spans="1:10" x14ac:dyDescent="0.35">
      <c r="A50" s="5">
        <v>29</v>
      </c>
      <c r="B50" s="5" t="s">
        <v>315</v>
      </c>
      <c r="C50" s="5" t="s">
        <v>316</v>
      </c>
      <c r="D50" s="5" t="s">
        <v>99</v>
      </c>
      <c r="E50" s="5">
        <v>2</v>
      </c>
      <c r="F50" s="6">
        <v>67.5</v>
      </c>
      <c r="G50" s="6">
        <v>135</v>
      </c>
      <c r="H50" s="6">
        <v>19.05</v>
      </c>
      <c r="I50" s="6">
        <v>38.1</v>
      </c>
      <c r="J50" s="5" t="s">
        <v>106</v>
      </c>
    </row>
    <row r="51" spans="1:10" x14ac:dyDescent="0.35">
      <c r="A51" s="19" t="s">
        <v>143</v>
      </c>
      <c r="B51" s="16"/>
      <c r="C51" s="16"/>
      <c r="D51" s="16"/>
      <c r="E51" s="16"/>
      <c r="F51" s="16"/>
      <c r="G51" s="12">
        <v>2810.62</v>
      </c>
      <c r="H51" s="13"/>
      <c r="I51" s="12">
        <v>1302.8</v>
      </c>
      <c r="J51" s="13"/>
    </row>
    <row r="53" spans="1:10" x14ac:dyDescent="0.35">
      <c r="A53" s="20" t="s">
        <v>144</v>
      </c>
      <c r="B53" s="16"/>
      <c r="C53" s="16"/>
      <c r="D53" s="16"/>
      <c r="E53" s="16"/>
      <c r="F53" s="16"/>
      <c r="G53" s="16"/>
      <c r="H53" s="16"/>
      <c r="I53" s="16"/>
      <c r="J53" s="16"/>
    </row>
    <row r="54" spans="1:10" x14ac:dyDescent="0.35">
      <c r="A54" s="5">
        <v>1</v>
      </c>
      <c r="B54" s="5" t="s">
        <v>145</v>
      </c>
      <c r="C54" s="5" t="s">
        <v>146</v>
      </c>
      <c r="D54" s="5" t="s">
        <v>147</v>
      </c>
      <c r="E54" s="5">
        <v>1</v>
      </c>
      <c r="F54" s="6">
        <v>1000</v>
      </c>
      <c r="G54" s="6">
        <v>1000</v>
      </c>
      <c r="H54" s="5" t="s">
        <v>148</v>
      </c>
      <c r="I54" s="5" t="s">
        <v>148</v>
      </c>
      <c r="J54" s="5" t="s">
        <v>149</v>
      </c>
    </row>
    <row r="55" spans="1:10" x14ac:dyDescent="0.35">
      <c r="A55" s="19" t="s">
        <v>150</v>
      </c>
      <c r="B55" s="16"/>
      <c r="C55" s="16"/>
      <c r="D55" s="16"/>
      <c r="E55" s="16"/>
      <c r="F55" s="16"/>
      <c r="G55" s="12">
        <v>1000</v>
      </c>
      <c r="H55" s="13"/>
      <c r="I55" s="13"/>
      <c r="J55" s="13"/>
    </row>
    <row r="57" spans="1:10" x14ac:dyDescent="0.35">
      <c r="A57" s="20" t="s">
        <v>151</v>
      </c>
      <c r="B57" s="16"/>
      <c r="C57" s="16"/>
      <c r="D57" s="16"/>
      <c r="E57" s="16"/>
      <c r="F57" s="16"/>
      <c r="G57" s="16"/>
      <c r="H57" s="16"/>
      <c r="I57" s="16"/>
      <c r="J57" s="16"/>
    </row>
    <row r="58" spans="1:10" x14ac:dyDescent="0.35">
      <c r="A58" s="5">
        <v>1</v>
      </c>
      <c r="B58" s="5" t="s">
        <v>152</v>
      </c>
      <c r="C58" s="5" t="s">
        <v>153</v>
      </c>
      <c r="D58" s="5" t="s">
        <v>148</v>
      </c>
      <c r="E58" s="5">
        <v>1</v>
      </c>
      <c r="F58" s="6">
        <v>1500</v>
      </c>
      <c r="G58" s="6">
        <v>1500</v>
      </c>
      <c r="H58" s="5" t="s">
        <v>148</v>
      </c>
      <c r="I58" s="5" t="s">
        <v>148</v>
      </c>
      <c r="J58" s="5" t="s">
        <v>149</v>
      </c>
    </row>
    <row r="59" spans="1:10" x14ac:dyDescent="0.35">
      <c r="A59" s="19" t="s">
        <v>154</v>
      </c>
      <c r="B59" s="16"/>
      <c r="C59" s="16"/>
      <c r="D59" s="16"/>
      <c r="E59" s="16"/>
      <c r="F59" s="16"/>
      <c r="G59" s="12">
        <v>1500</v>
      </c>
      <c r="H59" s="13"/>
      <c r="I59" s="13"/>
      <c r="J59" s="13"/>
    </row>
    <row r="61" spans="1:10" x14ac:dyDescent="0.35">
      <c r="A61" s="15" t="s">
        <v>155</v>
      </c>
      <c r="B61" s="16"/>
      <c r="C61" s="16"/>
      <c r="D61" s="16"/>
      <c r="E61" s="16"/>
      <c r="F61" s="16"/>
      <c r="G61" s="9">
        <v>8717.77</v>
      </c>
      <c r="H61" s="7" t="s">
        <v>317</v>
      </c>
      <c r="I61" s="8"/>
      <c r="J61" s="8"/>
    </row>
    <row r="63" spans="1:10" x14ac:dyDescent="0.35">
      <c r="A63" s="1" t="s">
        <v>212</v>
      </c>
    </row>
    <row r="64" spans="1:10" x14ac:dyDescent="0.35">
      <c r="A64" s="14" t="s">
        <v>178</v>
      </c>
    </row>
  </sheetData>
  <mergeCells count="10">
    <mergeCell ref="A1:J1"/>
    <mergeCell ref="A51:F51"/>
    <mergeCell ref="A53:J53"/>
    <mergeCell ref="A61:F61"/>
    <mergeCell ref="A4:J4"/>
    <mergeCell ref="A20:J20"/>
    <mergeCell ref="A18:F18"/>
    <mergeCell ref="A57:J57"/>
    <mergeCell ref="A55:F55"/>
    <mergeCell ref="A59:F5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J28"/>
  <sheetViews>
    <sheetView workbookViewId="0">
      <selection activeCell="A2" sqref="A2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630</v>
      </c>
      <c r="E2" t="s">
        <v>81</v>
      </c>
      <c r="G2" t="s">
        <v>241</v>
      </c>
      <c r="I2" t="s">
        <v>215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171</v>
      </c>
      <c r="C6" s="5" t="s">
        <v>229</v>
      </c>
      <c r="D6" s="5" t="s">
        <v>99</v>
      </c>
      <c r="E6" s="5">
        <v>2</v>
      </c>
      <c r="F6" s="6">
        <v>91</v>
      </c>
      <c r="G6" s="6">
        <v>182</v>
      </c>
      <c r="H6" s="6">
        <v>19.059999999999999</v>
      </c>
      <c r="I6" s="6">
        <v>38.119999999999997</v>
      </c>
      <c r="J6" s="5" t="s">
        <v>123</v>
      </c>
    </row>
    <row r="7" spans="1:10" x14ac:dyDescent="0.35">
      <c r="A7" s="5">
        <v>2</v>
      </c>
      <c r="B7" s="5" t="s">
        <v>261</v>
      </c>
      <c r="C7" s="5" t="s">
        <v>251</v>
      </c>
      <c r="D7" s="5" t="s">
        <v>99</v>
      </c>
      <c r="E7" s="5">
        <v>1</v>
      </c>
      <c r="F7" s="6">
        <v>236.25</v>
      </c>
      <c r="G7" s="6">
        <v>236.25</v>
      </c>
      <c r="H7" s="6">
        <v>200</v>
      </c>
      <c r="I7" s="6">
        <v>200</v>
      </c>
      <c r="J7" s="5" t="s">
        <v>106</v>
      </c>
    </row>
    <row r="8" spans="1:10" x14ac:dyDescent="0.35">
      <c r="A8" s="5">
        <v>3</v>
      </c>
      <c r="B8" s="5" t="s">
        <v>169</v>
      </c>
      <c r="C8" s="5" t="s">
        <v>170</v>
      </c>
      <c r="D8" s="5" t="s">
        <v>99</v>
      </c>
      <c r="E8" s="5">
        <v>4</v>
      </c>
      <c r="F8" s="6">
        <v>14</v>
      </c>
      <c r="G8" s="6">
        <v>56</v>
      </c>
      <c r="H8" s="6">
        <v>5.46</v>
      </c>
      <c r="I8" s="6">
        <v>21.84</v>
      </c>
      <c r="J8" s="5" t="s">
        <v>123</v>
      </c>
    </row>
    <row r="9" spans="1:10" x14ac:dyDescent="0.35">
      <c r="A9" s="5">
        <v>4</v>
      </c>
      <c r="B9" s="5" t="s">
        <v>124</v>
      </c>
      <c r="C9" s="5" t="s">
        <v>125</v>
      </c>
      <c r="D9" s="5" t="s">
        <v>99</v>
      </c>
      <c r="E9" s="5">
        <v>1</v>
      </c>
      <c r="F9" s="6">
        <v>37.950000000000003</v>
      </c>
      <c r="G9" s="6">
        <v>37.950000000000003</v>
      </c>
      <c r="H9" s="6">
        <v>27</v>
      </c>
      <c r="I9" s="6">
        <v>27</v>
      </c>
      <c r="J9" s="5" t="s">
        <v>126</v>
      </c>
    </row>
    <row r="10" spans="1:10" x14ac:dyDescent="0.35">
      <c r="A10" s="5">
        <v>5</v>
      </c>
      <c r="B10" s="5" t="s">
        <v>203</v>
      </c>
      <c r="C10" s="5" t="s">
        <v>111</v>
      </c>
      <c r="D10" s="5" t="s">
        <v>99</v>
      </c>
      <c r="E10" s="5">
        <v>1</v>
      </c>
      <c r="F10" s="6">
        <v>62.22</v>
      </c>
      <c r="G10" s="6">
        <v>62.22</v>
      </c>
      <c r="H10" s="6">
        <v>30.48</v>
      </c>
      <c r="I10" s="6">
        <v>30.48</v>
      </c>
      <c r="J10" s="5" t="s">
        <v>204</v>
      </c>
    </row>
    <row r="11" spans="1:10" x14ac:dyDescent="0.35">
      <c r="A11" s="19" t="s">
        <v>95</v>
      </c>
      <c r="B11" s="16"/>
      <c r="C11" s="16"/>
      <c r="D11" s="16"/>
      <c r="E11" s="16"/>
      <c r="F11" s="16"/>
      <c r="G11" s="12">
        <v>574.41999999999996</v>
      </c>
      <c r="H11" s="13"/>
      <c r="I11" s="12">
        <v>317.44</v>
      </c>
      <c r="J11" s="13"/>
    </row>
    <row r="13" spans="1:10" x14ac:dyDescent="0.35">
      <c r="A13" s="20" t="s">
        <v>96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35">
      <c r="A14" s="11" t="s">
        <v>2</v>
      </c>
      <c r="B14" s="11" t="s">
        <v>85</v>
      </c>
      <c r="C14" s="11" t="s">
        <v>86</v>
      </c>
      <c r="D14" s="11" t="s">
        <v>87</v>
      </c>
      <c r="E14" s="11" t="s">
        <v>88</v>
      </c>
      <c r="F14" s="11" t="s">
        <v>89</v>
      </c>
      <c r="G14" s="11" t="s">
        <v>90</v>
      </c>
      <c r="H14" s="11" t="s">
        <v>91</v>
      </c>
      <c r="I14" s="11" t="s">
        <v>92</v>
      </c>
      <c r="J14" s="11" t="s">
        <v>93</v>
      </c>
    </row>
    <row r="15" spans="1:10" x14ac:dyDescent="0.35">
      <c r="B15" t="s">
        <v>94</v>
      </c>
    </row>
    <row r="16" spans="1:10" x14ac:dyDescent="0.35">
      <c r="A16" s="19" t="s">
        <v>143</v>
      </c>
      <c r="B16" s="16"/>
      <c r="C16" s="16"/>
      <c r="D16" s="16"/>
      <c r="E16" s="16"/>
      <c r="F16" s="16"/>
      <c r="G16" s="12">
        <v>0</v>
      </c>
      <c r="H16" s="13"/>
      <c r="I16" s="12"/>
      <c r="J16" s="13"/>
    </row>
    <row r="18" spans="1:10" x14ac:dyDescent="0.35">
      <c r="A18" s="20" t="s">
        <v>144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5">
      <c r="A19" s="5">
        <v>1</v>
      </c>
      <c r="B19" s="5" t="s">
        <v>145</v>
      </c>
      <c r="C19" s="5" t="s">
        <v>146</v>
      </c>
      <c r="D19" s="5" t="s">
        <v>147</v>
      </c>
      <c r="E19" s="5">
        <v>1</v>
      </c>
      <c r="F19" s="6">
        <v>1000</v>
      </c>
      <c r="G19" s="6">
        <v>1000</v>
      </c>
      <c r="H19" s="5" t="s">
        <v>148</v>
      </c>
      <c r="I19" s="5" t="s">
        <v>148</v>
      </c>
      <c r="J19" s="5" t="s">
        <v>149</v>
      </c>
    </row>
    <row r="20" spans="1:10" x14ac:dyDescent="0.35">
      <c r="A20" s="19" t="s">
        <v>150</v>
      </c>
      <c r="B20" s="16"/>
      <c r="C20" s="16"/>
      <c r="D20" s="16"/>
      <c r="E20" s="16"/>
      <c r="F20" s="16"/>
      <c r="G20" s="12">
        <v>1000</v>
      </c>
      <c r="H20" s="13"/>
      <c r="I20" s="13"/>
      <c r="J20" s="13"/>
    </row>
    <row r="22" spans="1:10" x14ac:dyDescent="0.35">
      <c r="A22" s="20" t="s">
        <v>151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5">
      <c r="A23" s="5">
        <v>1</v>
      </c>
      <c r="B23" s="5" t="s">
        <v>152</v>
      </c>
      <c r="C23" s="5" t="s">
        <v>153</v>
      </c>
      <c r="D23" s="5" t="s">
        <v>148</v>
      </c>
      <c r="E23" s="5">
        <v>1</v>
      </c>
      <c r="F23" s="6">
        <v>1500</v>
      </c>
      <c r="G23" s="6">
        <v>1500</v>
      </c>
      <c r="H23" s="5" t="s">
        <v>148</v>
      </c>
      <c r="I23" s="5" t="s">
        <v>148</v>
      </c>
      <c r="J23" s="5" t="s">
        <v>149</v>
      </c>
    </row>
    <row r="24" spans="1:10" x14ac:dyDescent="0.35">
      <c r="A24" s="19" t="s">
        <v>154</v>
      </c>
      <c r="B24" s="16"/>
      <c r="C24" s="16"/>
      <c r="D24" s="16"/>
      <c r="E24" s="16"/>
      <c r="F24" s="16"/>
      <c r="G24" s="12">
        <v>1500</v>
      </c>
      <c r="H24" s="13"/>
      <c r="I24" s="13"/>
      <c r="J24" s="13"/>
    </row>
    <row r="26" spans="1:10" x14ac:dyDescent="0.35">
      <c r="A26" s="15" t="s">
        <v>155</v>
      </c>
      <c r="B26" s="16"/>
      <c r="C26" s="16"/>
      <c r="D26" s="16"/>
      <c r="E26" s="16"/>
      <c r="F26" s="16"/>
      <c r="G26" s="9">
        <v>3074.42</v>
      </c>
      <c r="H26" s="7" t="s">
        <v>262</v>
      </c>
      <c r="I26" s="8"/>
      <c r="J26" s="8"/>
    </row>
    <row r="28" spans="1:10" x14ac:dyDescent="0.35">
      <c r="A28" s="1" t="s">
        <v>231</v>
      </c>
    </row>
  </sheetData>
  <mergeCells count="10">
    <mergeCell ref="A1:J1"/>
    <mergeCell ref="A11:F11"/>
    <mergeCell ref="A22:J22"/>
    <mergeCell ref="A18:J18"/>
    <mergeCell ref="A4:J4"/>
    <mergeCell ref="A26:F26"/>
    <mergeCell ref="A20:F20"/>
    <mergeCell ref="A13:J13"/>
    <mergeCell ref="A24:F24"/>
    <mergeCell ref="A16:F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0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263</v>
      </c>
      <c r="E2" t="s">
        <v>81</v>
      </c>
      <c r="G2" t="s">
        <v>160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169</v>
      </c>
      <c r="C11" s="5" t="s">
        <v>170</v>
      </c>
      <c r="D11" s="5" t="s">
        <v>99</v>
      </c>
      <c r="E11" s="5">
        <v>6</v>
      </c>
      <c r="F11" s="6">
        <v>14</v>
      </c>
      <c r="G11" s="6">
        <v>84</v>
      </c>
      <c r="H11" s="6">
        <v>5.46</v>
      </c>
      <c r="I11" s="6">
        <v>32.76</v>
      </c>
      <c r="J11" s="5" t="s">
        <v>123</v>
      </c>
    </row>
    <row r="12" spans="1:10" x14ac:dyDescent="0.35">
      <c r="A12" s="5">
        <v>2</v>
      </c>
      <c r="B12" s="5" t="s">
        <v>171</v>
      </c>
      <c r="C12" s="5" t="s">
        <v>264</v>
      </c>
      <c r="D12" s="5" t="s">
        <v>99</v>
      </c>
      <c r="E12" s="5">
        <v>2</v>
      </c>
      <c r="F12" s="6">
        <v>91</v>
      </c>
      <c r="G12" s="6">
        <v>182</v>
      </c>
      <c r="H12" s="6">
        <v>19.059999999999999</v>
      </c>
      <c r="I12" s="6">
        <v>38.119999999999997</v>
      </c>
      <c r="J12" s="5" t="s">
        <v>123</v>
      </c>
    </row>
    <row r="13" spans="1:10" x14ac:dyDescent="0.35">
      <c r="A13" s="5">
        <v>3</v>
      </c>
      <c r="B13" s="5" t="s">
        <v>138</v>
      </c>
      <c r="C13" s="5" t="s">
        <v>139</v>
      </c>
      <c r="D13" s="5" t="s">
        <v>99</v>
      </c>
      <c r="E13" s="5">
        <v>3</v>
      </c>
      <c r="F13" s="5" t="s">
        <v>129</v>
      </c>
      <c r="G13" s="5" t="s">
        <v>129</v>
      </c>
      <c r="H13" s="5" t="s">
        <v>129</v>
      </c>
      <c r="I13" s="5" t="s">
        <v>129</v>
      </c>
      <c r="J13" s="5" t="s">
        <v>130</v>
      </c>
    </row>
    <row r="14" spans="1:10" x14ac:dyDescent="0.35">
      <c r="A14" s="5">
        <v>4</v>
      </c>
      <c r="B14" s="5" t="s">
        <v>180</v>
      </c>
      <c r="C14" s="5" t="s">
        <v>125</v>
      </c>
      <c r="D14" s="5" t="s">
        <v>99</v>
      </c>
      <c r="E14" s="5">
        <v>1</v>
      </c>
      <c r="F14" s="6">
        <v>37.950000000000003</v>
      </c>
      <c r="G14" s="6">
        <v>37.950000000000003</v>
      </c>
      <c r="H14" s="6">
        <v>27</v>
      </c>
      <c r="I14" s="6">
        <v>27</v>
      </c>
      <c r="J14" s="5" t="s">
        <v>126</v>
      </c>
    </row>
    <row r="15" spans="1:10" x14ac:dyDescent="0.35">
      <c r="A15" s="5">
        <v>5</v>
      </c>
      <c r="B15" s="5" t="s">
        <v>140</v>
      </c>
      <c r="C15" s="5" t="s">
        <v>141</v>
      </c>
      <c r="D15" s="5" t="s">
        <v>99</v>
      </c>
      <c r="E15" s="5">
        <v>1</v>
      </c>
      <c r="F15" s="6">
        <v>236.25</v>
      </c>
      <c r="G15" s="6">
        <v>236.25</v>
      </c>
      <c r="H15" s="6">
        <v>200</v>
      </c>
      <c r="I15" s="6">
        <v>200</v>
      </c>
      <c r="J15" s="5" t="s">
        <v>106</v>
      </c>
    </row>
    <row r="16" spans="1:10" x14ac:dyDescent="0.35">
      <c r="A16" s="5">
        <v>6</v>
      </c>
      <c r="B16" s="5" t="s">
        <v>164</v>
      </c>
      <c r="C16" s="5" t="s">
        <v>115</v>
      </c>
      <c r="D16" s="5" t="s">
        <v>99</v>
      </c>
      <c r="E16" s="5">
        <v>1</v>
      </c>
      <c r="F16" s="6">
        <v>39.049999999999997</v>
      </c>
      <c r="G16" s="6">
        <v>39.049999999999997</v>
      </c>
      <c r="H16" s="6">
        <v>16.670000000000002</v>
      </c>
      <c r="I16" s="6">
        <v>16.670000000000002</v>
      </c>
      <c r="J16" s="5" t="s">
        <v>100</v>
      </c>
    </row>
    <row r="17" spans="1:10" x14ac:dyDescent="0.35">
      <c r="A17" s="19" t="s">
        <v>143</v>
      </c>
      <c r="B17" s="16"/>
      <c r="C17" s="16"/>
      <c r="D17" s="16"/>
      <c r="E17" s="16"/>
      <c r="F17" s="16"/>
      <c r="G17" s="12">
        <v>579.25</v>
      </c>
      <c r="H17" s="13"/>
      <c r="I17" s="12">
        <v>314.55</v>
      </c>
      <c r="J17" s="13"/>
    </row>
    <row r="19" spans="1:10" x14ac:dyDescent="0.35">
      <c r="A19" s="20" t="s">
        <v>144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5">
      <c r="A20" s="5">
        <v>1</v>
      </c>
      <c r="B20" s="5" t="s">
        <v>145</v>
      </c>
      <c r="C20" s="5" t="s">
        <v>146</v>
      </c>
      <c r="D20" s="5" t="s">
        <v>147</v>
      </c>
      <c r="E20" s="5">
        <v>1</v>
      </c>
      <c r="F20" s="6">
        <v>1000</v>
      </c>
      <c r="G20" s="6">
        <v>1000</v>
      </c>
      <c r="H20" s="5" t="s">
        <v>148</v>
      </c>
      <c r="I20" s="5" t="s">
        <v>148</v>
      </c>
      <c r="J20" s="5" t="s">
        <v>149</v>
      </c>
    </row>
    <row r="21" spans="1:10" x14ac:dyDescent="0.35">
      <c r="A21" s="19" t="s">
        <v>150</v>
      </c>
      <c r="B21" s="16"/>
      <c r="C21" s="16"/>
      <c r="D21" s="16"/>
      <c r="E21" s="16"/>
      <c r="F21" s="16"/>
      <c r="G21" s="12">
        <v>1000</v>
      </c>
      <c r="H21" s="13"/>
      <c r="I21" s="13"/>
      <c r="J21" s="13"/>
    </row>
    <row r="23" spans="1:10" x14ac:dyDescent="0.35">
      <c r="A23" s="20" t="s">
        <v>151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5">
      <c r="A24" s="5">
        <v>1</v>
      </c>
      <c r="B24" s="5" t="s">
        <v>152</v>
      </c>
      <c r="C24" s="5" t="s">
        <v>153</v>
      </c>
      <c r="D24" s="5" t="s">
        <v>148</v>
      </c>
      <c r="E24" s="5">
        <v>1</v>
      </c>
      <c r="F24" s="6">
        <v>1500</v>
      </c>
      <c r="G24" s="6">
        <v>1500</v>
      </c>
      <c r="H24" s="5" t="s">
        <v>148</v>
      </c>
      <c r="I24" s="5" t="s">
        <v>148</v>
      </c>
      <c r="J24" s="5" t="s">
        <v>149</v>
      </c>
    </row>
    <row r="25" spans="1:10" x14ac:dyDescent="0.35">
      <c r="A25" s="19" t="s">
        <v>154</v>
      </c>
      <c r="B25" s="16"/>
      <c r="C25" s="16"/>
      <c r="D25" s="16"/>
      <c r="E25" s="16"/>
      <c r="F25" s="16"/>
      <c r="G25" s="12">
        <v>1500</v>
      </c>
      <c r="H25" s="13"/>
      <c r="I25" s="13"/>
      <c r="J25" s="13"/>
    </row>
    <row r="27" spans="1:10" x14ac:dyDescent="0.35">
      <c r="A27" s="15" t="s">
        <v>155</v>
      </c>
      <c r="B27" s="16"/>
      <c r="C27" s="16"/>
      <c r="D27" s="16"/>
      <c r="E27" s="16"/>
      <c r="F27" s="16"/>
      <c r="G27" s="9">
        <v>3079.25</v>
      </c>
      <c r="H27" s="7" t="s">
        <v>265</v>
      </c>
      <c r="I27" s="8"/>
      <c r="J27" s="8"/>
    </row>
    <row r="29" spans="1:10" x14ac:dyDescent="0.35">
      <c r="A29" s="1" t="s">
        <v>157</v>
      </c>
    </row>
    <row r="30" spans="1:10" x14ac:dyDescent="0.35">
      <c r="A30" s="14" t="s">
        <v>178</v>
      </c>
    </row>
  </sheetData>
  <mergeCells count="10">
    <mergeCell ref="A1:J1"/>
    <mergeCell ref="A23:J23"/>
    <mergeCell ref="A9:J9"/>
    <mergeCell ref="A27:F27"/>
    <mergeCell ref="A4:J4"/>
    <mergeCell ref="A17:F17"/>
    <mergeCell ref="A25:F25"/>
    <mergeCell ref="A21:F21"/>
    <mergeCell ref="A7:F7"/>
    <mergeCell ref="A19:J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9"/>
  <sheetViews>
    <sheetView workbookViewId="0">
      <selection activeCell="A9" sqref="A9:J9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633</v>
      </c>
      <c r="E2" t="s">
        <v>342</v>
      </c>
      <c r="G2" t="s">
        <v>343</v>
      </c>
      <c r="I2" t="s">
        <v>83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171</v>
      </c>
      <c r="C11" s="5" t="s">
        <v>264</v>
      </c>
      <c r="D11" s="5" t="s">
        <v>99</v>
      </c>
      <c r="E11" s="5">
        <v>2</v>
      </c>
      <c r="F11" s="6">
        <v>91</v>
      </c>
      <c r="G11" s="6">
        <v>182</v>
      </c>
      <c r="H11" s="6">
        <v>19.059999999999999</v>
      </c>
      <c r="I11" s="6">
        <v>38.119999999999997</v>
      </c>
      <c r="J11" s="5" t="s">
        <v>123</v>
      </c>
    </row>
    <row r="12" spans="1:10" x14ac:dyDescent="0.35">
      <c r="A12" s="5">
        <v>2</v>
      </c>
      <c r="B12" s="5" t="s">
        <v>344</v>
      </c>
      <c r="C12" s="5" t="s">
        <v>139</v>
      </c>
      <c r="D12" s="5" t="s">
        <v>99</v>
      </c>
      <c r="E12" s="5">
        <v>3</v>
      </c>
      <c r="F12" s="5" t="s">
        <v>129</v>
      </c>
      <c r="G12" s="5" t="s">
        <v>129</v>
      </c>
      <c r="H12" s="5" t="s">
        <v>129</v>
      </c>
      <c r="I12" s="5" t="s">
        <v>129</v>
      </c>
      <c r="J12" s="5" t="s">
        <v>130</v>
      </c>
    </row>
    <row r="13" spans="1:10" x14ac:dyDescent="0.35">
      <c r="A13" s="5">
        <v>3</v>
      </c>
      <c r="B13" s="5" t="s">
        <v>345</v>
      </c>
      <c r="C13" s="5" t="s">
        <v>139</v>
      </c>
      <c r="D13" s="5" t="s">
        <v>99</v>
      </c>
      <c r="E13" s="5">
        <v>3</v>
      </c>
      <c r="F13" s="5" t="s">
        <v>129</v>
      </c>
      <c r="G13" s="5" t="s">
        <v>129</v>
      </c>
      <c r="H13" s="5" t="s">
        <v>129</v>
      </c>
      <c r="I13" s="5" t="s">
        <v>129</v>
      </c>
      <c r="J13" s="5" t="s">
        <v>130</v>
      </c>
    </row>
    <row r="14" spans="1:10" x14ac:dyDescent="0.35">
      <c r="A14" s="5">
        <v>4</v>
      </c>
      <c r="B14" s="5" t="s">
        <v>140</v>
      </c>
      <c r="C14" s="5" t="s">
        <v>141</v>
      </c>
      <c r="D14" s="5" t="s">
        <v>99</v>
      </c>
      <c r="E14" s="5">
        <v>1</v>
      </c>
      <c r="F14" s="6">
        <v>236.25</v>
      </c>
      <c r="G14" s="6">
        <v>236.25</v>
      </c>
      <c r="H14" s="6">
        <v>200</v>
      </c>
      <c r="I14" s="6">
        <v>200</v>
      </c>
      <c r="J14" s="5" t="s">
        <v>106</v>
      </c>
    </row>
    <row r="15" spans="1:10" x14ac:dyDescent="0.35">
      <c r="A15" s="5">
        <v>5</v>
      </c>
      <c r="B15" s="5" t="s">
        <v>114</v>
      </c>
      <c r="C15" s="5" t="s">
        <v>115</v>
      </c>
      <c r="D15" s="5" t="s">
        <v>99</v>
      </c>
      <c r="E15" s="5">
        <v>1</v>
      </c>
      <c r="F15" s="6">
        <v>39.049999999999997</v>
      </c>
      <c r="G15" s="6">
        <v>39.049999999999997</v>
      </c>
      <c r="H15" s="6">
        <v>16.670000000000002</v>
      </c>
      <c r="I15" s="6">
        <v>16.670000000000002</v>
      </c>
      <c r="J15" s="5" t="s">
        <v>100</v>
      </c>
    </row>
    <row r="16" spans="1:10" x14ac:dyDescent="0.35">
      <c r="A16" s="19" t="s">
        <v>143</v>
      </c>
      <c r="B16" s="16"/>
      <c r="C16" s="16"/>
      <c r="D16" s="16"/>
      <c r="E16" s="16"/>
      <c r="F16" s="16"/>
      <c r="G16" s="12">
        <v>457.3</v>
      </c>
      <c r="H16" s="13"/>
      <c r="I16" s="12">
        <v>254.79</v>
      </c>
      <c r="J16" s="13"/>
    </row>
    <row r="18" spans="1:10" x14ac:dyDescent="0.35">
      <c r="A18" s="20" t="s">
        <v>144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5">
      <c r="A19" s="5">
        <v>1</v>
      </c>
      <c r="B19" s="5" t="s">
        <v>145</v>
      </c>
      <c r="C19" s="5" t="s">
        <v>146</v>
      </c>
      <c r="D19" s="5" t="s">
        <v>147</v>
      </c>
      <c r="E19" s="5">
        <v>1</v>
      </c>
      <c r="F19" s="6">
        <v>1000</v>
      </c>
      <c r="G19" s="6">
        <v>1000</v>
      </c>
      <c r="H19" s="5" t="s">
        <v>148</v>
      </c>
      <c r="I19" s="5" t="s">
        <v>148</v>
      </c>
      <c r="J19" s="5" t="s">
        <v>149</v>
      </c>
    </row>
    <row r="20" spans="1:10" x14ac:dyDescent="0.35">
      <c r="A20" s="19" t="s">
        <v>150</v>
      </c>
      <c r="B20" s="16"/>
      <c r="C20" s="16"/>
      <c r="D20" s="16"/>
      <c r="E20" s="16"/>
      <c r="F20" s="16"/>
      <c r="G20" s="12">
        <v>1000</v>
      </c>
      <c r="H20" s="13"/>
      <c r="I20" s="13"/>
      <c r="J20" s="13"/>
    </row>
    <row r="22" spans="1:10" x14ac:dyDescent="0.35">
      <c r="A22" s="20" t="s">
        <v>151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5">
      <c r="A23" s="5">
        <v>1</v>
      </c>
      <c r="B23" s="5" t="s">
        <v>152</v>
      </c>
      <c r="C23" s="5" t="s">
        <v>153</v>
      </c>
      <c r="D23" s="5" t="s">
        <v>148</v>
      </c>
      <c r="E23" s="5">
        <v>1</v>
      </c>
      <c r="F23" s="6">
        <v>1500</v>
      </c>
      <c r="G23" s="6">
        <v>1500</v>
      </c>
      <c r="H23" s="5" t="s">
        <v>148</v>
      </c>
      <c r="I23" s="5" t="s">
        <v>148</v>
      </c>
      <c r="J23" s="5" t="s">
        <v>149</v>
      </c>
    </row>
    <row r="24" spans="1:10" x14ac:dyDescent="0.35">
      <c r="A24" s="19" t="s">
        <v>154</v>
      </c>
      <c r="B24" s="16"/>
      <c r="C24" s="16"/>
      <c r="D24" s="16"/>
      <c r="E24" s="16"/>
      <c r="F24" s="16"/>
      <c r="G24" s="12">
        <v>1500</v>
      </c>
      <c r="H24" s="13"/>
      <c r="I24" s="13"/>
      <c r="J24" s="13"/>
    </row>
    <row r="26" spans="1:10" x14ac:dyDescent="0.35">
      <c r="A26" s="15" t="s">
        <v>155</v>
      </c>
      <c r="B26" s="16"/>
      <c r="C26" s="16"/>
      <c r="D26" s="16"/>
      <c r="E26" s="16"/>
      <c r="F26" s="16"/>
      <c r="G26" s="9">
        <v>2957.3</v>
      </c>
      <c r="H26" s="7" t="s">
        <v>346</v>
      </c>
      <c r="I26" s="8"/>
      <c r="J26" s="8"/>
    </row>
    <row r="28" spans="1:10" x14ac:dyDescent="0.35">
      <c r="A28" s="1" t="s">
        <v>157</v>
      </c>
    </row>
    <row r="29" spans="1:10" x14ac:dyDescent="0.35">
      <c r="A29" s="14" t="s">
        <v>347</v>
      </c>
    </row>
  </sheetData>
  <mergeCells count="10">
    <mergeCell ref="A1:J1"/>
    <mergeCell ref="A22:J22"/>
    <mergeCell ref="A9:J9"/>
    <mergeCell ref="A18:J18"/>
    <mergeCell ref="A4:J4"/>
    <mergeCell ref="A26:F26"/>
    <mergeCell ref="A20:F20"/>
    <mergeCell ref="A7:F7"/>
    <mergeCell ref="A24:F24"/>
    <mergeCell ref="A16:F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41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348</v>
      </c>
      <c r="E2" t="s">
        <v>319</v>
      </c>
      <c r="G2" t="s">
        <v>232</v>
      </c>
      <c r="I2" t="s">
        <v>215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349</v>
      </c>
      <c r="C6" s="5" t="s">
        <v>283</v>
      </c>
      <c r="D6" s="5" t="s">
        <v>99</v>
      </c>
      <c r="E6" s="5">
        <v>2</v>
      </c>
      <c r="F6" s="6">
        <v>72.2</v>
      </c>
      <c r="G6" s="6">
        <v>144.4</v>
      </c>
      <c r="H6" s="6">
        <v>50.54</v>
      </c>
      <c r="I6" s="6">
        <v>101.08</v>
      </c>
      <c r="J6" s="5" t="s">
        <v>284</v>
      </c>
    </row>
    <row r="7" spans="1:10" x14ac:dyDescent="0.35">
      <c r="A7" s="5">
        <v>2</v>
      </c>
      <c r="B7" s="5" t="s">
        <v>350</v>
      </c>
      <c r="C7" s="5" t="s">
        <v>102</v>
      </c>
      <c r="D7" s="5" t="s">
        <v>99</v>
      </c>
      <c r="E7" s="5">
        <v>2</v>
      </c>
      <c r="F7" s="6">
        <v>12.72</v>
      </c>
      <c r="G7" s="6">
        <v>25.44</v>
      </c>
      <c r="H7" s="6">
        <v>4.8499999999999996</v>
      </c>
      <c r="I7" s="6">
        <v>9.6999999999999993</v>
      </c>
      <c r="J7" s="5" t="s">
        <v>100</v>
      </c>
    </row>
    <row r="8" spans="1:10" x14ac:dyDescent="0.35">
      <c r="A8" s="5">
        <v>3</v>
      </c>
      <c r="B8" s="5" t="s">
        <v>351</v>
      </c>
      <c r="C8" s="5" t="s">
        <v>352</v>
      </c>
      <c r="D8" s="5" t="s">
        <v>99</v>
      </c>
      <c r="E8" s="5">
        <v>1</v>
      </c>
      <c r="F8" s="6">
        <v>70</v>
      </c>
      <c r="G8" s="6">
        <v>70</v>
      </c>
      <c r="H8" s="6">
        <v>49</v>
      </c>
      <c r="I8" s="6">
        <v>49</v>
      </c>
      <c r="J8" s="5" t="s">
        <v>284</v>
      </c>
    </row>
    <row r="9" spans="1:10" x14ac:dyDescent="0.35">
      <c r="A9" s="5">
        <v>4</v>
      </c>
      <c r="B9" s="5" t="s">
        <v>301</v>
      </c>
      <c r="C9" s="5" t="s">
        <v>196</v>
      </c>
      <c r="D9" s="5" t="s">
        <v>99</v>
      </c>
      <c r="E9" s="5">
        <v>1</v>
      </c>
      <c r="F9" s="6">
        <v>66.64</v>
      </c>
      <c r="G9" s="6">
        <v>66.64</v>
      </c>
      <c r="H9" s="6">
        <v>25.71</v>
      </c>
      <c r="I9" s="6">
        <v>25.71</v>
      </c>
      <c r="J9" s="5" t="s">
        <v>302</v>
      </c>
    </row>
    <row r="10" spans="1:10" x14ac:dyDescent="0.35">
      <c r="A10" s="5">
        <v>5</v>
      </c>
      <c r="B10" s="5" t="s">
        <v>197</v>
      </c>
      <c r="C10" s="5" t="s">
        <v>198</v>
      </c>
      <c r="D10" s="5" t="s">
        <v>99</v>
      </c>
      <c r="E10" s="5">
        <v>1</v>
      </c>
      <c r="F10" s="6">
        <v>53.9</v>
      </c>
      <c r="G10" s="6">
        <v>53.9</v>
      </c>
      <c r="H10" s="6">
        <v>41.07</v>
      </c>
      <c r="I10" s="6">
        <v>41.07</v>
      </c>
      <c r="J10" s="5" t="s">
        <v>199</v>
      </c>
    </row>
    <row r="11" spans="1:10" x14ac:dyDescent="0.35">
      <c r="A11" s="5">
        <v>6</v>
      </c>
      <c r="B11" s="5" t="s">
        <v>353</v>
      </c>
      <c r="C11" s="5" t="s">
        <v>314</v>
      </c>
      <c r="D11" s="5" t="s">
        <v>99</v>
      </c>
      <c r="E11" s="5">
        <v>1</v>
      </c>
      <c r="F11" s="6">
        <v>31.03</v>
      </c>
      <c r="G11" s="6">
        <v>31.03</v>
      </c>
      <c r="H11" s="6">
        <v>23.81</v>
      </c>
      <c r="I11" s="6">
        <v>23.81</v>
      </c>
      <c r="J11" s="5" t="s">
        <v>189</v>
      </c>
    </row>
    <row r="12" spans="1:10" x14ac:dyDescent="0.35">
      <c r="A12" s="5">
        <v>7</v>
      </c>
      <c r="B12" s="5" t="s">
        <v>354</v>
      </c>
      <c r="C12" s="5" t="s">
        <v>355</v>
      </c>
      <c r="D12" s="5" t="s">
        <v>99</v>
      </c>
      <c r="E12" s="5">
        <v>1</v>
      </c>
      <c r="F12" s="6">
        <v>501.15</v>
      </c>
      <c r="G12" s="6">
        <v>501.15</v>
      </c>
      <c r="H12" s="6">
        <v>350.81</v>
      </c>
      <c r="I12" s="6">
        <v>350.81</v>
      </c>
      <c r="J12" s="5" t="s">
        <v>356</v>
      </c>
    </row>
    <row r="13" spans="1:10" x14ac:dyDescent="0.35">
      <c r="A13" s="5">
        <v>8</v>
      </c>
      <c r="B13" s="5" t="s">
        <v>164</v>
      </c>
      <c r="C13" s="5" t="s">
        <v>115</v>
      </c>
      <c r="D13" s="5" t="s">
        <v>99</v>
      </c>
      <c r="E13" s="5">
        <v>1</v>
      </c>
      <c r="F13" s="6">
        <v>39.049999999999997</v>
      </c>
      <c r="G13" s="6">
        <v>39.049999999999997</v>
      </c>
      <c r="H13" s="6">
        <v>16.670000000000002</v>
      </c>
      <c r="I13" s="6">
        <v>16.670000000000002</v>
      </c>
      <c r="J13" s="5" t="s">
        <v>100</v>
      </c>
    </row>
    <row r="14" spans="1:10" x14ac:dyDescent="0.35">
      <c r="A14" s="5">
        <v>9</v>
      </c>
      <c r="B14" s="5" t="s">
        <v>357</v>
      </c>
      <c r="C14" s="5" t="s">
        <v>358</v>
      </c>
      <c r="D14" s="5" t="s">
        <v>99</v>
      </c>
      <c r="E14" s="5">
        <v>1</v>
      </c>
      <c r="F14" s="6">
        <v>15.9</v>
      </c>
      <c r="G14" s="6">
        <v>15.9</v>
      </c>
      <c r="H14" s="6">
        <v>11.71</v>
      </c>
      <c r="I14" s="6">
        <v>11.71</v>
      </c>
      <c r="J14" s="5" t="s">
        <v>100</v>
      </c>
    </row>
    <row r="15" spans="1:10" x14ac:dyDescent="0.35">
      <c r="A15" s="5">
        <v>10</v>
      </c>
      <c r="B15" s="5" t="s">
        <v>325</v>
      </c>
      <c r="C15" s="5" t="s">
        <v>326</v>
      </c>
      <c r="D15" s="5" t="s">
        <v>99</v>
      </c>
      <c r="E15" s="5">
        <v>1</v>
      </c>
      <c r="F15" s="6">
        <v>15.37</v>
      </c>
      <c r="G15" s="6">
        <v>15.37</v>
      </c>
      <c r="H15" s="6">
        <v>11.24</v>
      </c>
      <c r="I15" s="6">
        <v>11.24</v>
      </c>
      <c r="J15" s="5" t="s">
        <v>189</v>
      </c>
    </row>
    <row r="16" spans="1:10" x14ac:dyDescent="0.35">
      <c r="A16" s="5">
        <v>11</v>
      </c>
      <c r="B16" s="5" t="s">
        <v>359</v>
      </c>
      <c r="C16" s="5" t="s">
        <v>360</v>
      </c>
      <c r="D16" s="5" t="s">
        <v>99</v>
      </c>
      <c r="E16" s="5">
        <v>1</v>
      </c>
      <c r="F16" s="6">
        <v>12.56</v>
      </c>
      <c r="G16" s="6">
        <v>12.56</v>
      </c>
      <c r="H16" s="6">
        <v>4.76</v>
      </c>
      <c r="I16" s="6">
        <v>4.76</v>
      </c>
      <c r="J16" s="5" t="s">
        <v>118</v>
      </c>
    </row>
    <row r="17" spans="1:10" x14ac:dyDescent="0.35">
      <c r="A17" s="5">
        <v>12</v>
      </c>
      <c r="B17" s="5" t="s">
        <v>330</v>
      </c>
      <c r="C17" s="5"/>
      <c r="D17" s="5" t="s">
        <v>99</v>
      </c>
      <c r="E17" s="5">
        <v>1</v>
      </c>
      <c r="F17" s="6">
        <v>19.03</v>
      </c>
      <c r="G17" s="6">
        <v>19.03</v>
      </c>
      <c r="H17" s="6">
        <v>12.57</v>
      </c>
      <c r="I17" s="6">
        <v>12.57</v>
      </c>
      <c r="J17" s="5" t="s">
        <v>100</v>
      </c>
    </row>
    <row r="18" spans="1:10" x14ac:dyDescent="0.35">
      <c r="A18" s="5">
        <v>13</v>
      </c>
      <c r="B18" s="5" t="s">
        <v>137</v>
      </c>
      <c r="C18" s="5"/>
      <c r="D18" s="5" t="s">
        <v>99</v>
      </c>
      <c r="E18" s="5">
        <v>1</v>
      </c>
      <c r="F18" s="6">
        <v>201</v>
      </c>
      <c r="G18" s="6">
        <v>201</v>
      </c>
      <c r="H18" s="6">
        <v>10.48</v>
      </c>
      <c r="I18" s="6">
        <v>10.48</v>
      </c>
      <c r="J18" s="5" t="s">
        <v>106</v>
      </c>
    </row>
    <row r="19" spans="1:10" x14ac:dyDescent="0.35">
      <c r="A19" s="5">
        <v>14</v>
      </c>
      <c r="B19" s="5" t="s">
        <v>165</v>
      </c>
      <c r="C19" s="5"/>
      <c r="D19" s="5" t="s">
        <v>99</v>
      </c>
      <c r="E19" s="5">
        <v>2</v>
      </c>
      <c r="F19" s="6">
        <v>20</v>
      </c>
      <c r="G19" s="6">
        <v>40</v>
      </c>
      <c r="H19" s="6">
        <v>3.76</v>
      </c>
      <c r="I19" s="6">
        <v>7.52</v>
      </c>
      <c r="J19" s="5" t="s">
        <v>106</v>
      </c>
    </row>
    <row r="20" spans="1:10" x14ac:dyDescent="0.35">
      <c r="A20" s="5">
        <v>15</v>
      </c>
      <c r="B20" s="5" t="s">
        <v>166</v>
      </c>
      <c r="C20" s="5"/>
      <c r="D20" s="5" t="s">
        <v>99</v>
      </c>
      <c r="E20" s="5">
        <v>2</v>
      </c>
      <c r="F20" s="6">
        <v>10.23</v>
      </c>
      <c r="G20" s="6">
        <v>20.46</v>
      </c>
      <c r="H20" s="6">
        <v>2.38</v>
      </c>
      <c r="I20" s="6">
        <v>4.76</v>
      </c>
      <c r="J20" s="5" t="s">
        <v>106</v>
      </c>
    </row>
    <row r="21" spans="1:10" x14ac:dyDescent="0.35">
      <c r="A21" s="5">
        <v>16</v>
      </c>
      <c r="B21" s="5" t="s">
        <v>202</v>
      </c>
      <c r="C21" s="5"/>
      <c r="D21" s="5" t="s">
        <v>99</v>
      </c>
      <c r="E21" s="5">
        <v>1</v>
      </c>
      <c r="F21" s="6">
        <v>202.55</v>
      </c>
      <c r="G21" s="6">
        <v>202.55</v>
      </c>
      <c r="H21" s="6">
        <v>7.14</v>
      </c>
      <c r="I21" s="6">
        <v>7.14</v>
      </c>
      <c r="J21" s="5" t="s">
        <v>106</v>
      </c>
    </row>
    <row r="22" spans="1:10" x14ac:dyDescent="0.35">
      <c r="A22" s="5">
        <v>17</v>
      </c>
      <c r="B22" s="5" t="s">
        <v>134</v>
      </c>
      <c r="C22" s="5" t="s">
        <v>135</v>
      </c>
      <c r="D22" s="5" t="s">
        <v>99</v>
      </c>
      <c r="E22" s="5">
        <v>1</v>
      </c>
      <c r="F22" s="6">
        <v>5</v>
      </c>
      <c r="G22" s="6">
        <v>5</v>
      </c>
      <c r="H22" s="6">
        <v>300</v>
      </c>
      <c r="I22" s="6">
        <v>300</v>
      </c>
      <c r="J22" s="5" t="s">
        <v>136</v>
      </c>
    </row>
    <row r="23" spans="1:10" x14ac:dyDescent="0.35">
      <c r="A23" s="5">
        <v>18</v>
      </c>
      <c r="B23" s="5" t="s">
        <v>205</v>
      </c>
      <c r="C23" s="5" t="s">
        <v>206</v>
      </c>
      <c r="D23" s="5" t="s">
        <v>99</v>
      </c>
      <c r="E23" s="5">
        <v>1</v>
      </c>
      <c r="F23" s="6">
        <v>63.3</v>
      </c>
      <c r="G23" s="6">
        <v>63.3</v>
      </c>
      <c r="H23" s="6">
        <v>17.62</v>
      </c>
      <c r="I23" s="6">
        <v>17.62</v>
      </c>
      <c r="J23" s="5" t="s">
        <v>100</v>
      </c>
    </row>
    <row r="24" spans="1:10" x14ac:dyDescent="0.35">
      <c r="A24" s="19" t="s">
        <v>95</v>
      </c>
      <c r="B24" s="16"/>
      <c r="C24" s="16"/>
      <c r="D24" s="16"/>
      <c r="E24" s="16"/>
      <c r="F24" s="16"/>
      <c r="G24" s="12">
        <v>1526.78</v>
      </c>
      <c r="H24" s="13"/>
      <c r="I24" s="12">
        <v>1005.65</v>
      </c>
      <c r="J24" s="13"/>
    </row>
    <row r="26" spans="1:10" x14ac:dyDescent="0.35">
      <c r="A26" s="20" t="s">
        <v>96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11" t="s">
        <v>2</v>
      </c>
      <c r="B27" s="11" t="s">
        <v>85</v>
      </c>
      <c r="C27" s="11" t="s">
        <v>86</v>
      </c>
      <c r="D27" s="11" t="s">
        <v>87</v>
      </c>
      <c r="E27" s="11" t="s">
        <v>88</v>
      </c>
      <c r="F27" s="11" t="s">
        <v>89</v>
      </c>
      <c r="G27" s="11" t="s">
        <v>90</v>
      </c>
      <c r="H27" s="11" t="s">
        <v>91</v>
      </c>
      <c r="I27" s="11" t="s">
        <v>92</v>
      </c>
      <c r="J27" s="11" t="s">
        <v>93</v>
      </c>
    </row>
    <row r="28" spans="1:10" x14ac:dyDescent="0.35">
      <c r="B28" t="s">
        <v>94</v>
      </c>
    </row>
    <row r="29" spans="1:10" x14ac:dyDescent="0.35">
      <c r="A29" s="19" t="s">
        <v>143</v>
      </c>
      <c r="B29" s="16"/>
      <c r="C29" s="16"/>
      <c r="D29" s="16"/>
      <c r="E29" s="16"/>
      <c r="F29" s="16"/>
      <c r="G29" s="12">
        <v>0</v>
      </c>
      <c r="H29" s="13"/>
      <c r="I29" s="12"/>
      <c r="J29" s="13"/>
    </row>
    <row r="31" spans="1:10" x14ac:dyDescent="0.35">
      <c r="A31" s="20" t="s">
        <v>144</v>
      </c>
      <c r="B31" s="16"/>
      <c r="C31" s="16"/>
      <c r="D31" s="16"/>
      <c r="E31" s="16"/>
      <c r="F31" s="16"/>
      <c r="G31" s="16"/>
      <c r="H31" s="16"/>
      <c r="I31" s="16"/>
      <c r="J31" s="16"/>
    </row>
    <row r="32" spans="1:10" x14ac:dyDescent="0.35">
      <c r="A32" s="5">
        <v>1</v>
      </c>
      <c r="B32" s="5" t="s">
        <v>145</v>
      </c>
      <c r="C32" s="5" t="s">
        <v>146</v>
      </c>
      <c r="D32" s="5" t="s">
        <v>147</v>
      </c>
      <c r="E32" s="5">
        <v>1</v>
      </c>
      <c r="F32" s="6">
        <v>1000</v>
      </c>
      <c r="G32" s="6">
        <v>1000</v>
      </c>
      <c r="H32" s="5" t="s">
        <v>148</v>
      </c>
      <c r="I32" s="5" t="s">
        <v>148</v>
      </c>
      <c r="J32" s="5" t="s">
        <v>149</v>
      </c>
    </row>
    <row r="33" spans="1:10" x14ac:dyDescent="0.35">
      <c r="A33" s="19" t="s">
        <v>150</v>
      </c>
      <c r="B33" s="16"/>
      <c r="C33" s="16"/>
      <c r="D33" s="16"/>
      <c r="E33" s="16"/>
      <c r="F33" s="16"/>
      <c r="G33" s="12">
        <v>1000</v>
      </c>
      <c r="H33" s="13"/>
      <c r="I33" s="13"/>
      <c r="J33" s="13"/>
    </row>
    <row r="35" spans="1:10" x14ac:dyDescent="0.35">
      <c r="A35" s="20" t="s">
        <v>151</v>
      </c>
      <c r="B35" s="16"/>
      <c r="C35" s="16"/>
      <c r="D35" s="16"/>
      <c r="E35" s="16"/>
      <c r="F35" s="16"/>
      <c r="G35" s="16"/>
      <c r="H35" s="16"/>
      <c r="I35" s="16"/>
      <c r="J35" s="16"/>
    </row>
    <row r="36" spans="1:10" x14ac:dyDescent="0.35">
      <c r="A36" s="5">
        <v>1</v>
      </c>
      <c r="B36" s="5" t="s">
        <v>152</v>
      </c>
      <c r="C36" s="5" t="s">
        <v>153</v>
      </c>
      <c r="D36" s="5" t="s">
        <v>148</v>
      </c>
      <c r="E36" s="5">
        <v>1</v>
      </c>
      <c r="F36" s="6">
        <v>1500</v>
      </c>
      <c r="G36" s="6">
        <v>1500</v>
      </c>
      <c r="H36" s="5" t="s">
        <v>148</v>
      </c>
      <c r="I36" s="5" t="s">
        <v>148</v>
      </c>
      <c r="J36" s="5" t="s">
        <v>149</v>
      </c>
    </row>
    <row r="37" spans="1:10" x14ac:dyDescent="0.35">
      <c r="A37" s="19" t="s">
        <v>154</v>
      </c>
      <c r="B37" s="16"/>
      <c r="C37" s="16"/>
      <c r="D37" s="16"/>
      <c r="E37" s="16"/>
      <c r="F37" s="16"/>
      <c r="G37" s="12">
        <v>1500</v>
      </c>
      <c r="H37" s="13"/>
      <c r="I37" s="13"/>
      <c r="J37" s="13"/>
    </row>
    <row r="39" spans="1:10" x14ac:dyDescent="0.35">
      <c r="A39" s="15" t="s">
        <v>155</v>
      </c>
      <c r="B39" s="16"/>
      <c r="C39" s="16"/>
      <c r="D39" s="16"/>
      <c r="E39" s="16"/>
      <c r="F39" s="16"/>
      <c r="G39" s="9">
        <v>4026.78</v>
      </c>
      <c r="H39" s="7" t="s">
        <v>361</v>
      </c>
      <c r="I39" s="8"/>
      <c r="J39" s="8"/>
    </row>
    <row r="41" spans="1:10" x14ac:dyDescent="0.35">
      <c r="A41" s="1" t="s">
        <v>231</v>
      </c>
    </row>
  </sheetData>
  <mergeCells count="10">
    <mergeCell ref="A39:F39"/>
    <mergeCell ref="A29:F29"/>
    <mergeCell ref="A24:F24"/>
    <mergeCell ref="A33:F33"/>
    <mergeCell ref="A1:J1"/>
    <mergeCell ref="A31:J31"/>
    <mergeCell ref="A37:F37"/>
    <mergeCell ref="A35:J35"/>
    <mergeCell ref="A4:J4"/>
    <mergeCell ref="A26:J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4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428</v>
      </c>
      <c r="E2" t="s">
        <v>81</v>
      </c>
      <c r="G2" t="s">
        <v>429</v>
      </c>
      <c r="I2" t="s">
        <v>430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140</v>
      </c>
      <c r="C6" s="5"/>
      <c r="D6" s="5" t="s">
        <v>99</v>
      </c>
      <c r="E6" s="5">
        <v>1</v>
      </c>
      <c r="F6" s="6">
        <v>236.25</v>
      </c>
      <c r="G6" s="6">
        <v>236.25</v>
      </c>
      <c r="H6" s="5"/>
      <c r="I6" s="5"/>
      <c r="J6" s="5" t="s">
        <v>431</v>
      </c>
    </row>
    <row r="7" spans="1:10" x14ac:dyDescent="0.35">
      <c r="A7" s="5">
        <v>2</v>
      </c>
      <c r="B7" s="5" t="s">
        <v>432</v>
      </c>
      <c r="C7" s="5"/>
      <c r="D7" s="5" t="s">
        <v>99</v>
      </c>
      <c r="E7" s="5">
        <v>1</v>
      </c>
      <c r="F7" s="6">
        <v>200</v>
      </c>
      <c r="G7" s="6">
        <v>200</v>
      </c>
      <c r="H7" s="5"/>
      <c r="I7" s="5"/>
      <c r="J7" s="5" t="s">
        <v>433</v>
      </c>
    </row>
    <row r="8" spans="1:10" x14ac:dyDescent="0.35">
      <c r="A8" s="19" t="s">
        <v>95</v>
      </c>
      <c r="B8" s="16"/>
      <c r="C8" s="16"/>
      <c r="D8" s="16"/>
      <c r="E8" s="16"/>
      <c r="F8" s="16"/>
      <c r="G8" s="12">
        <v>436.25</v>
      </c>
      <c r="H8" s="13"/>
      <c r="I8" s="12"/>
      <c r="J8" s="13"/>
    </row>
    <row r="10" spans="1:10" x14ac:dyDescent="0.35">
      <c r="A10" s="20" t="s">
        <v>96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x14ac:dyDescent="0.35">
      <c r="A11" s="11" t="s">
        <v>2</v>
      </c>
      <c r="B11" s="11" t="s">
        <v>85</v>
      </c>
      <c r="C11" s="11" t="s">
        <v>86</v>
      </c>
      <c r="D11" s="11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  <c r="I11" s="11" t="s">
        <v>92</v>
      </c>
      <c r="J11" s="11" t="s">
        <v>93</v>
      </c>
    </row>
    <row r="12" spans="1:10" x14ac:dyDescent="0.35">
      <c r="A12" s="5">
        <v>1</v>
      </c>
      <c r="B12" s="5" t="s">
        <v>434</v>
      </c>
      <c r="C12" s="5"/>
      <c r="D12" s="5" t="s">
        <v>99</v>
      </c>
      <c r="E12" s="5">
        <v>1</v>
      </c>
      <c r="F12" s="6">
        <v>66.64</v>
      </c>
      <c r="G12" s="6">
        <v>66.64</v>
      </c>
      <c r="H12" s="5"/>
      <c r="I12" s="5"/>
      <c r="J12" s="5" t="s">
        <v>435</v>
      </c>
    </row>
    <row r="13" spans="1:10" x14ac:dyDescent="0.35">
      <c r="A13" s="5">
        <v>2</v>
      </c>
      <c r="B13" s="5" t="s">
        <v>132</v>
      </c>
      <c r="C13" s="5"/>
      <c r="D13" s="5" t="s">
        <v>99</v>
      </c>
      <c r="E13" s="5">
        <v>1</v>
      </c>
      <c r="F13" s="6">
        <v>321</v>
      </c>
      <c r="G13" s="6">
        <v>321</v>
      </c>
      <c r="H13" s="5"/>
      <c r="I13" s="5"/>
      <c r="J13" s="5" t="s">
        <v>436</v>
      </c>
    </row>
    <row r="14" spans="1:10" x14ac:dyDescent="0.35">
      <c r="A14" s="5">
        <v>3</v>
      </c>
      <c r="B14" s="5" t="s">
        <v>163</v>
      </c>
      <c r="C14" s="5"/>
      <c r="D14" s="5" t="s">
        <v>99</v>
      </c>
      <c r="E14" s="5">
        <v>1</v>
      </c>
      <c r="F14" s="6">
        <v>202.55</v>
      </c>
      <c r="G14" s="6">
        <v>202.55</v>
      </c>
      <c r="H14" s="5"/>
      <c r="I14" s="5"/>
      <c r="J14" s="5" t="s">
        <v>437</v>
      </c>
    </row>
    <row r="15" spans="1:10" x14ac:dyDescent="0.35">
      <c r="A15" s="5">
        <v>4</v>
      </c>
      <c r="B15" s="5" t="s">
        <v>134</v>
      </c>
      <c r="C15" s="5"/>
      <c r="D15" s="5" t="s">
        <v>99</v>
      </c>
      <c r="E15" s="5">
        <v>1</v>
      </c>
      <c r="F15" s="6">
        <v>5</v>
      </c>
      <c r="G15" s="6">
        <v>5</v>
      </c>
      <c r="H15" s="5"/>
      <c r="I15" s="5"/>
      <c r="J15" s="5" t="s">
        <v>438</v>
      </c>
    </row>
    <row r="16" spans="1:10" x14ac:dyDescent="0.35">
      <c r="A16" s="5">
        <v>5</v>
      </c>
      <c r="B16" s="5" t="s">
        <v>439</v>
      </c>
      <c r="C16" s="5"/>
      <c r="D16" s="5" t="s">
        <v>99</v>
      </c>
      <c r="E16" s="5">
        <v>3</v>
      </c>
      <c r="F16" s="6">
        <v>3.24</v>
      </c>
      <c r="G16" s="6">
        <v>9.7200000000000006</v>
      </c>
      <c r="H16" s="5"/>
      <c r="I16" s="5"/>
      <c r="J16" s="5" t="s">
        <v>440</v>
      </c>
    </row>
    <row r="17" spans="1:10" x14ac:dyDescent="0.35">
      <c r="A17" s="5">
        <v>6</v>
      </c>
      <c r="B17" s="5" t="s">
        <v>298</v>
      </c>
      <c r="C17" s="5"/>
      <c r="D17" s="5" t="s">
        <v>99</v>
      </c>
      <c r="E17" s="5">
        <v>2</v>
      </c>
      <c r="F17" s="6">
        <v>20</v>
      </c>
      <c r="G17" s="6">
        <v>40</v>
      </c>
      <c r="H17" s="5"/>
      <c r="I17" s="5"/>
      <c r="J17" s="5" t="s">
        <v>441</v>
      </c>
    </row>
    <row r="18" spans="1:10" x14ac:dyDescent="0.35">
      <c r="A18" s="5">
        <v>7</v>
      </c>
      <c r="B18" s="5" t="s">
        <v>296</v>
      </c>
      <c r="C18" s="5"/>
      <c r="D18" s="5" t="s">
        <v>99</v>
      </c>
      <c r="E18" s="5">
        <v>1</v>
      </c>
      <c r="F18" s="6">
        <v>10.23</v>
      </c>
      <c r="G18" s="6">
        <v>10.23</v>
      </c>
      <c r="H18" s="5"/>
      <c r="I18" s="5"/>
      <c r="J18" s="5" t="s">
        <v>442</v>
      </c>
    </row>
    <row r="19" spans="1:10" x14ac:dyDescent="0.35">
      <c r="A19" s="5">
        <v>8</v>
      </c>
      <c r="B19" s="5" t="s">
        <v>443</v>
      </c>
      <c r="C19" s="5"/>
      <c r="D19" s="5" t="s">
        <v>99</v>
      </c>
      <c r="E19" s="5">
        <v>1</v>
      </c>
      <c r="F19" s="6">
        <v>12.72</v>
      </c>
      <c r="G19" s="6">
        <v>12.72</v>
      </c>
      <c r="H19" s="5"/>
      <c r="I19" s="5"/>
      <c r="J19" s="5" t="s">
        <v>444</v>
      </c>
    </row>
    <row r="20" spans="1:10" x14ac:dyDescent="0.35">
      <c r="A20" s="5">
        <v>9</v>
      </c>
      <c r="B20" s="5" t="s">
        <v>445</v>
      </c>
      <c r="C20" s="5"/>
      <c r="D20" s="5" t="s">
        <v>99</v>
      </c>
      <c r="E20" s="5">
        <v>2</v>
      </c>
      <c r="F20" s="5" t="s">
        <v>446</v>
      </c>
      <c r="G20" s="6">
        <v>0</v>
      </c>
      <c r="H20" s="5"/>
      <c r="I20" s="5"/>
      <c r="J20" s="5" t="s">
        <v>447</v>
      </c>
    </row>
    <row r="21" spans="1:10" x14ac:dyDescent="0.35">
      <c r="A21" s="19" t="s">
        <v>143</v>
      </c>
      <c r="B21" s="16"/>
      <c r="C21" s="16"/>
      <c r="D21" s="16"/>
      <c r="E21" s="16"/>
      <c r="F21" s="16"/>
      <c r="G21" s="12">
        <v>667.86</v>
      </c>
      <c r="H21" s="13"/>
      <c r="I21" s="12"/>
      <c r="J21" s="13"/>
    </row>
    <row r="23" spans="1:10" x14ac:dyDescent="0.35">
      <c r="A23" s="20" t="s">
        <v>144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5">
      <c r="A24" s="5">
        <v>1</v>
      </c>
      <c r="B24" s="5" t="s">
        <v>145</v>
      </c>
      <c r="C24" s="5" t="s">
        <v>146</v>
      </c>
      <c r="D24" s="5" t="s">
        <v>147</v>
      </c>
      <c r="E24" s="5">
        <v>1</v>
      </c>
      <c r="F24" s="6">
        <v>1000</v>
      </c>
      <c r="G24" s="6">
        <v>1000</v>
      </c>
      <c r="H24" s="5" t="s">
        <v>148</v>
      </c>
      <c r="I24" s="5" t="s">
        <v>148</v>
      </c>
      <c r="J24" s="5" t="s">
        <v>149</v>
      </c>
    </row>
    <row r="25" spans="1:10" x14ac:dyDescent="0.35">
      <c r="A25" s="19" t="s">
        <v>150</v>
      </c>
      <c r="B25" s="16"/>
      <c r="C25" s="16"/>
      <c r="D25" s="16"/>
      <c r="E25" s="16"/>
      <c r="F25" s="16"/>
      <c r="G25" s="12">
        <v>1000</v>
      </c>
      <c r="H25" s="13"/>
      <c r="I25" s="13"/>
      <c r="J25" s="13"/>
    </row>
    <row r="27" spans="1:10" x14ac:dyDescent="0.35">
      <c r="A27" s="20" t="s">
        <v>151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x14ac:dyDescent="0.35">
      <c r="A28" s="5">
        <v>1</v>
      </c>
      <c r="B28" s="5" t="s">
        <v>152</v>
      </c>
      <c r="C28" s="5" t="s">
        <v>448</v>
      </c>
      <c r="D28" s="5" t="s">
        <v>148</v>
      </c>
      <c r="E28" s="5">
        <v>1</v>
      </c>
      <c r="F28" s="6">
        <v>1000</v>
      </c>
      <c r="G28" s="6">
        <v>1000</v>
      </c>
      <c r="H28" s="5" t="s">
        <v>148</v>
      </c>
      <c r="I28" s="5" t="s">
        <v>148</v>
      </c>
      <c r="J28" s="5" t="s">
        <v>149</v>
      </c>
    </row>
    <row r="29" spans="1:10" x14ac:dyDescent="0.35">
      <c r="A29" s="19" t="s">
        <v>154</v>
      </c>
      <c r="B29" s="16"/>
      <c r="C29" s="16"/>
      <c r="D29" s="16"/>
      <c r="E29" s="16"/>
      <c r="F29" s="16"/>
      <c r="G29" s="12">
        <v>1000</v>
      </c>
      <c r="H29" s="13"/>
      <c r="I29" s="13"/>
      <c r="J29" s="13"/>
    </row>
    <row r="31" spans="1:10" x14ac:dyDescent="0.35">
      <c r="A31" s="15" t="s">
        <v>155</v>
      </c>
      <c r="B31" s="16"/>
      <c r="C31" s="16"/>
      <c r="D31" s="16"/>
      <c r="E31" s="16"/>
      <c r="F31" s="16"/>
      <c r="G31" s="9">
        <v>3104.11</v>
      </c>
      <c r="H31" s="8"/>
      <c r="I31" s="8"/>
      <c r="J31" s="8"/>
    </row>
    <row r="33" spans="1:1" x14ac:dyDescent="0.35">
      <c r="A33" s="1" t="s">
        <v>212</v>
      </c>
    </row>
    <row r="34" spans="1:1" x14ac:dyDescent="0.35">
      <c r="A34" s="14" t="s">
        <v>449</v>
      </c>
    </row>
  </sheetData>
  <mergeCells count="10">
    <mergeCell ref="A1:J1"/>
    <mergeCell ref="A23:J23"/>
    <mergeCell ref="A27:J27"/>
    <mergeCell ref="A8:F8"/>
    <mergeCell ref="A31:F31"/>
    <mergeCell ref="A4:J4"/>
    <mergeCell ref="A21:F21"/>
    <mergeCell ref="A10:J10"/>
    <mergeCell ref="A29:F29"/>
    <mergeCell ref="A25:F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7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450</v>
      </c>
      <c r="E2" t="s">
        <v>81</v>
      </c>
      <c r="G2" t="s">
        <v>451</v>
      </c>
      <c r="I2" t="s">
        <v>452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453</v>
      </c>
      <c r="C6" s="5"/>
      <c r="D6" s="5" t="s">
        <v>99</v>
      </c>
      <c r="E6" s="5">
        <v>2</v>
      </c>
      <c r="F6" s="6">
        <v>31.47</v>
      </c>
      <c r="G6" s="6">
        <v>62.94</v>
      </c>
      <c r="H6" s="5"/>
      <c r="I6" s="5"/>
      <c r="J6" s="5" t="s">
        <v>454</v>
      </c>
    </row>
    <row r="7" spans="1:10" x14ac:dyDescent="0.35">
      <c r="A7" s="5">
        <v>2</v>
      </c>
      <c r="B7" s="5" t="s">
        <v>455</v>
      </c>
      <c r="C7" s="5"/>
      <c r="D7" s="5" t="s">
        <v>99</v>
      </c>
      <c r="E7" s="5">
        <v>4</v>
      </c>
      <c r="F7" s="6">
        <v>91</v>
      </c>
      <c r="G7" s="6">
        <v>364</v>
      </c>
      <c r="H7" s="5"/>
      <c r="I7" s="5"/>
      <c r="J7" s="5" t="s">
        <v>456</v>
      </c>
    </row>
    <row r="8" spans="1:10" x14ac:dyDescent="0.35">
      <c r="A8" s="5">
        <v>3</v>
      </c>
      <c r="B8" s="5" t="s">
        <v>457</v>
      </c>
      <c r="C8" s="5"/>
      <c r="D8" s="5" t="s">
        <v>99</v>
      </c>
      <c r="E8" s="5">
        <v>4</v>
      </c>
      <c r="F8" s="5" t="s">
        <v>446</v>
      </c>
      <c r="G8" s="6">
        <v>0</v>
      </c>
      <c r="H8" s="5"/>
      <c r="I8" s="5"/>
      <c r="J8" s="5" t="s">
        <v>458</v>
      </c>
    </row>
    <row r="9" spans="1:10" x14ac:dyDescent="0.35">
      <c r="A9" s="5">
        <v>4</v>
      </c>
      <c r="B9" s="5" t="s">
        <v>140</v>
      </c>
      <c r="C9" s="5"/>
      <c r="D9" s="5" t="s">
        <v>99</v>
      </c>
      <c r="E9" s="5">
        <v>1</v>
      </c>
      <c r="F9" s="6">
        <v>236.25</v>
      </c>
      <c r="G9" s="6">
        <v>236.25</v>
      </c>
      <c r="H9" s="5"/>
      <c r="I9" s="5"/>
      <c r="J9" s="5" t="s">
        <v>431</v>
      </c>
    </row>
    <row r="10" spans="1:10" x14ac:dyDescent="0.35">
      <c r="A10" s="5">
        <v>5</v>
      </c>
      <c r="B10" s="5" t="s">
        <v>459</v>
      </c>
      <c r="C10" s="5"/>
      <c r="D10" s="5" t="s">
        <v>99</v>
      </c>
      <c r="E10" s="5">
        <v>1</v>
      </c>
      <c r="F10" s="6">
        <v>236.25</v>
      </c>
      <c r="G10" s="6">
        <v>236.25</v>
      </c>
      <c r="H10" s="5"/>
      <c r="I10" s="5"/>
      <c r="J10" s="5" t="s">
        <v>460</v>
      </c>
    </row>
    <row r="11" spans="1:10" x14ac:dyDescent="0.35">
      <c r="A11" s="19" t="s">
        <v>95</v>
      </c>
      <c r="B11" s="16"/>
      <c r="C11" s="16"/>
      <c r="D11" s="16"/>
      <c r="E11" s="16"/>
      <c r="F11" s="16"/>
      <c r="G11" s="12">
        <v>899.44</v>
      </c>
      <c r="H11" s="13"/>
      <c r="I11" s="12"/>
      <c r="J11" s="13"/>
    </row>
    <row r="13" spans="1:10" x14ac:dyDescent="0.35">
      <c r="A13" s="20" t="s">
        <v>96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35">
      <c r="A14" s="11" t="s">
        <v>2</v>
      </c>
      <c r="B14" s="11" t="s">
        <v>85</v>
      </c>
      <c r="C14" s="11" t="s">
        <v>86</v>
      </c>
      <c r="D14" s="11" t="s">
        <v>87</v>
      </c>
      <c r="E14" s="11" t="s">
        <v>88</v>
      </c>
      <c r="F14" s="11" t="s">
        <v>89</v>
      </c>
      <c r="G14" s="11" t="s">
        <v>90</v>
      </c>
      <c r="H14" s="11" t="s">
        <v>91</v>
      </c>
      <c r="I14" s="11" t="s">
        <v>92</v>
      </c>
      <c r="J14" s="11" t="s">
        <v>93</v>
      </c>
    </row>
    <row r="15" spans="1:10" x14ac:dyDescent="0.35">
      <c r="A15" s="5">
        <v>1</v>
      </c>
      <c r="B15" s="5" t="s">
        <v>164</v>
      </c>
      <c r="C15" s="5"/>
      <c r="D15" s="5" t="s">
        <v>99</v>
      </c>
      <c r="E15" s="5">
        <v>2</v>
      </c>
      <c r="F15" s="6">
        <v>39.049999999999997</v>
      </c>
      <c r="G15" s="6">
        <v>78.099999999999994</v>
      </c>
      <c r="H15" s="5"/>
      <c r="I15" s="5"/>
      <c r="J15" s="5" t="s">
        <v>461</v>
      </c>
    </row>
    <row r="16" spans="1:10" x14ac:dyDescent="0.35">
      <c r="A16" s="5">
        <v>2</v>
      </c>
      <c r="B16" s="5" t="s">
        <v>462</v>
      </c>
      <c r="C16" s="5"/>
      <c r="D16" s="5" t="s">
        <v>99</v>
      </c>
      <c r="E16" s="5">
        <v>1</v>
      </c>
      <c r="F16" s="6">
        <v>21</v>
      </c>
      <c r="G16" s="6">
        <v>21</v>
      </c>
      <c r="H16" s="5"/>
      <c r="I16" s="5"/>
      <c r="J16" s="5" t="s">
        <v>463</v>
      </c>
    </row>
    <row r="17" spans="1:10" x14ac:dyDescent="0.35">
      <c r="A17" s="5">
        <v>3</v>
      </c>
      <c r="B17" s="5" t="s">
        <v>205</v>
      </c>
      <c r="C17" s="5"/>
      <c r="D17" s="5" t="s">
        <v>99</v>
      </c>
      <c r="E17" s="5">
        <v>1</v>
      </c>
      <c r="F17" s="6">
        <v>63.3</v>
      </c>
      <c r="G17" s="6">
        <v>63.3</v>
      </c>
      <c r="H17" s="5"/>
      <c r="I17" s="5"/>
      <c r="J17" s="5" t="s">
        <v>464</v>
      </c>
    </row>
    <row r="18" spans="1:10" x14ac:dyDescent="0.35">
      <c r="A18" s="5">
        <v>4</v>
      </c>
      <c r="B18" s="5" t="s">
        <v>298</v>
      </c>
      <c r="C18" s="5"/>
      <c r="D18" s="5" t="s">
        <v>99</v>
      </c>
      <c r="E18" s="5">
        <v>3</v>
      </c>
      <c r="F18" s="6">
        <v>20</v>
      </c>
      <c r="G18" s="6">
        <v>60</v>
      </c>
      <c r="H18" s="5"/>
      <c r="I18" s="5"/>
      <c r="J18" s="5" t="s">
        <v>441</v>
      </c>
    </row>
    <row r="19" spans="1:10" x14ac:dyDescent="0.35">
      <c r="A19" s="5">
        <v>5</v>
      </c>
      <c r="B19" s="5" t="s">
        <v>300</v>
      </c>
      <c r="C19" s="5"/>
      <c r="D19" s="5" t="s">
        <v>99</v>
      </c>
      <c r="E19" s="5">
        <v>2</v>
      </c>
      <c r="F19" s="6">
        <v>6.04</v>
      </c>
      <c r="G19" s="6">
        <v>12.08</v>
      </c>
      <c r="H19" s="5"/>
      <c r="I19" s="5"/>
      <c r="J19" s="5" t="s">
        <v>465</v>
      </c>
    </row>
    <row r="20" spans="1:10" x14ac:dyDescent="0.35">
      <c r="A20" s="5">
        <v>6</v>
      </c>
      <c r="B20" s="5" t="s">
        <v>137</v>
      </c>
      <c r="C20" s="5"/>
      <c r="D20" s="5" t="s">
        <v>99</v>
      </c>
      <c r="E20" s="5">
        <v>1</v>
      </c>
      <c r="F20" s="6">
        <v>201</v>
      </c>
      <c r="G20" s="6">
        <v>201</v>
      </c>
      <c r="H20" s="5"/>
      <c r="I20" s="5"/>
      <c r="J20" s="5" t="s">
        <v>466</v>
      </c>
    </row>
    <row r="21" spans="1:10" x14ac:dyDescent="0.35">
      <c r="A21" s="5">
        <v>7</v>
      </c>
      <c r="B21" s="5" t="s">
        <v>467</v>
      </c>
      <c r="C21" s="5"/>
      <c r="D21" s="5" t="s">
        <v>99</v>
      </c>
      <c r="E21" s="5">
        <v>1</v>
      </c>
      <c r="F21" s="6">
        <v>192.5</v>
      </c>
      <c r="G21" s="6">
        <v>192.5</v>
      </c>
      <c r="H21" s="5"/>
      <c r="I21" s="5"/>
      <c r="J21" s="5" t="s">
        <v>468</v>
      </c>
    </row>
    <row r="22" spans="1:10" x14ac:dyDescent="0.35">
      <c r="A22" s="5">
        <v>8</v>
      </c>
      <c r="B22" s="5" t="s">
        <v>443</v>
      </c>
      <c r="C22" s="5"/>
      <c r="D22" s="5" t="s">
        <v>99</v>
      </c>
      <c r="E22" s="5">
        <v>1</v>
      </c>
      <c r="F22" s="6">
        <v>12.72</v>
      </c>
      <c r="G22" s="6">
        <v>12.72</v>
      </c>
      <c r="H22" s="5"/>
      <c r="I22" s="5"/>
      <c r="J22" s="5" t="s">
        <v>444</v>
      </c>
    </row>
    <row r="23" spans="1:10" x14ac:dyDescent="0.35">
      <c r="A23" s="5">
        <v>9</v>
      </c>
      <c r="B23" s="5" t="s">
        <v>469</v>
      </c>
      <c r="C23" s="5"/>
      <c r="D23" s="5" t="s">
        <v>99</v>
      </c>
      <c r="E23" s="5">
        <v>1</v>
      </c>
      <c r="F23" s="6">
        <v>53.9</v>
      </c>
      <c r="G23" s="6">
        <v>53.9</v>
      </c>
      <c r="H23" s="5"/>
      <c r="I23" s="5"/>
      <c r="J23" s="5" t="s">
        <v>470</v>
      </c>
    </row>
    <row r="24" spans="1:10" x14ac:dyDescent="0.35">
      <c r="A24" s="19" t="s">
        <v>143</v>
      </c>
      <c r="B24" s="16"/>
      <c r="C24" s="16"/>
      <c r="D24" s="16"/>
      <c r="E24" s="16"/>
      <c r="F24" s="16"/>
      <c r="G24" s="12">
        <v>694.6</v>
      </c>
      <c r="H24" s="13"/>
      <c r="I24" s="12"/>
      <c r="J24" s="13"/>
    </row>
    <row r="26" spans="1:10" x14ac:dyDescent="0.35">
      <c r="A26" s="20" t="s">
        <v>144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5">
        <v>1</v>
      </c>
      <c r="B27" s="5" t="s">
        <v>145</v>
      </c>
      <c r="C27" s="5" t="s">
        <v>146</v>
      </c>
      <c r="D27" s="5" t="s">
        <v>147</v>
      </c>
      <c r="E27" s="5">
        <v>1</v>
      </c>
      <c r="F27" s="6">
        <v>1000</v>
      </c>
      <c r="G27" s="6">
        <v>1000</v>
      </c>
      <c r="H27" s="5" t="s">
        <v>148</v>
      </c>
      <c r="I27" s="5" t="s">
        <v>148</v>
      </c>
      <c r="J27" s="5" t="s">
        <v>149</v>
      </c>
    </row>
    <row r="28" spans="1:10" x14ac:dyDescent="0.35">
      <c r="A28" s="19" t="s">
        <v>150</v>
      </c>
      <c r="B28" s="16"/>
      <c r="C28" s="16"/>
      <c r="D28" s="16"/>
      <c r="E28" s="16"/>
      <c r="F28" s="16"/>
      <c r="G28" s="12">
        <v>1000</v>
      </c>
      <c r="H28" s="13"/>
      <c r="I28" s="13"/>
      <c r="J28" s="13"/>
    </row>
    <row r="30" spans="1:10" x14ac:dyDescent="0.35">
      <c r="A30" s="20" t="s">
        <v>151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35">
      <c r="A31" s="5">
        <v>1</v>
      </c>
      <c r="B31" s="5" t="s">
        <v>152</v>
      </c>
      <c r="C31" s="5" t="s">
        <v>471</v>
      </c>
      <c r="D31" s="5" t="s">
        <v>148</v>
      </c>
      <c r="E31" s="5">
        <v>4</v>
      </c>
      <c r="F31" s="6">
        <v>1000</v>
      </c>
      <c r="G31" s="6">
        <v>4000</v>
      </c>
      <c r="H31" s="5" t="s">
        <v>148</v>
      </c>
      <c r="I31" s="5" t="s">
        <v>148</v>
      </c>
      <c r="J31" s="5" t="s">
        <v>149</v>
      </c>
    </row>
    <row r="32" spans="1:10" x14ac:dyDescent="0.35">
      <c r="A32" s="19" t="s">
        <v>154</v>
      </c>
      <c r="B32" s="16"/>
      <c r="C32" s="16"/>
      <c r="D32" s="16"/>
      <c r="E32" s="16"/>
      <c r="F32" s="16"/>
      <c r="G32" s="12">
        <v>4000</v>
      </c>
      <c r="H32" s="13"/>
      <c r="I32" s="13"/>
      <c r="J32" s="13"/>
    </row>
    <row r="34" spans="1:10" x14ac:dyDescent="0.35">
      <c r="A34" s="15" t="s">
        <v>155</v>
      </c>
      <c r="B34" s="16"/>
      <c r="C34" s="16"/>
      <c r="D34" s="16"/>
      <c r="E34" s="16"/>
      <c r="F34" s="16"/>
      <c r="G34" s="9">
        <v>6594.04</v>
      </c>
      <c r="H34" s="8"/>
      <c r="I34" s="8"/>
      <c r="J34" s="8"/>
    </row>
    <row r="36" spans="1:10" x14ac:dyDescent="0.35">
      <c r="A36" s="1" t="s">
        <v>212</v>
      </c>
    </row>
    <row r="37" spans="1:10" x14ac:dyDescent="0.35">
      <c r="A37" s="14" t="s">
        <v>472</v>
      </c>
    </row>
  </sheetData>
  <mergeCells count="10">
    <mergeCell ref="A34:F34"/>
    <mergeCell ref="A26:J26"/>
    <mergeCell ref="A13:J13"/>
    <mergeCell ref="A24:F24"/>
    <mergeCell ref="A1:J1"/>
    <mergeCell ref="A11:F11"/>
    <mergeCell ref="A28:F28"/>
    <mergeCell ref="A32:F32"/>
    <mergeCell ref="A30:J30"/>
    <mergeCell ref="A4:J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5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473</v>
      </c>
      <c r="E2" t="s">
        <v>270</v>
      </c>
      <c r="G2" t="s">
        <v>451</v>
      </c>
      <c r="I2" t="s">
        <v>474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475</v>
      </c>
      <c r="C6" s="5"/>
      <c r="D6" s="5" t="s">
        <v>99</v>
      </c>
      <c r="E6" s="5">
        <v>1</v>
      </c>
      <c r="F6" s="6">
        <v>31.47</v>
      </c>
      <c r="G6" s="6">
        <v>31.47</v>
      </c>
      <c r="H6" s="5"/>
      <c r="I6" s="5"/>
      <c r="J6" s="5" t="s">
        <v>454</v>
      </c>
    </row>
    <row r="7" spans="1:10" x14ac:dyDescent="0.35">
      <c r="A7" s="5">
        <v>2</v>
      </c>
      <c r="B7" s="5" t="s">
        <v>476</v>
      </c>
      <c r="C7" s="5"/>
      <c r="D7" s="5" t="s">
        <v>99</v>
      </c>
      <c r="E7" s="5">
        <v>1</v>
      </c>
      <c r="F7" s="6">
        <v>277</v>
      </c>
      <c r="G7" s="6">
        <v>277</v>
      </c>
      <c r="H7" s="5"/>
      <c r="I7" s="5"/>
      <c r="J7" s="5" t="s">
        <v>477</v>
      </c>
    </row>
    <row r="8" spans="1:10" x14ac:dyDescent="0.35">
      <c r="A8" s="5">
        <v>3</v>
      </c>
      <c r="B8" s="5" t="s">
        <v>478</v>
      </c>
      <c r="C8" s="5"/>
      <c r="D8" s="5" t="s">
        <v>99</v>
      </c>
      <c r="E8" s="5">
        <v>1</v>
      </c>
      <c r="F8" s="6">
        <v>250</v>
      </c>
      <c r="G8" s="6">
        <v>250</v>
      </c>
      <c r="H8" s="5"/>
      <c r="I8" s="5"/>
      <c r="J8" s="5" t="s">
        <v>479</v>
      </c>
    </row>
    <row r="9" spans="1:10" x14ac:dyDescent="0.35">
      <c r="A9" s="5">
        <v>4</v>
      </c>
      <c r="B9" s="5" t="s">
        <v>457</v>
      </c>
      <c r="C9" s="5"/>
      <c r="D9" s="5" t="s">
        <v>99</v>
      </c>
      <c r="E9" s="5">
        <v>6</v>
      </c>
      <c r="F9" s="5" t="s">
        <v>446</v>
      </c>
      <c r="G9" s="6">
        <v>0</v>
      </c>
      <c r="H9" s="5"/>
      <c r="I9" s="5"/>
      <c r="J9" s="5" t="s">
        <v>458</v>
      </c>
    </row>
    <row r="10" spans="1:10" x14ac:dyDescent="0.35">
      <c r="A10" s="5">
        <v>5</v>
      </c>
      <c r="B10" s="5" t="s">
        <v>480</v>
      </c>
      <c r="C10" s="5"/>
      <c r="D10" s="5" t="s">
        <v>99</v>
      </c>
      <c r="E10" s="5">
        <v>3</v>
      </c>
      <c r="F10" s="6">
        <v>97</v>
      </c>
      <c r="G10" s="6">
        <v>291</v>
      </c>
      <c r="H10" s="5"/>
      <c r="I10" s="5"/>
      <c r="J10" s="5" t="s">
        <v>481</v>
      </c>
    </row>
    <row r="11" spans="1:10" x14ac:dyDescent="0.35">
      <c r="A11" s="5">
        <v>6</v>
      </c>
      <c r="B11" s="5" t="s">
        <v>482</v>
      </c>
      <c r="C11" s="5"/>
      <c r="D11" s="5" t="s">
        <v>99</v>
      </c>
      <c r="E11" s="5">
        <v>28</v>
      </c>
      <c r="F11" s="6">
        <v>14</v>
      </c>
      <c r="G11" s="6">
        <v>392</v>
      </c>
      <c r="H11" s="5"/>
      <c r="I11" s="5"/>
      <c r="J11" s="5" t="s">
        <v>483</v>
      </c>
    </row>
    <row r="12" spans="1:10" x14ac:dyDescent="0.35">
      <c r="A12" s="5">
        <v>7</v>
      </c>
      <c r="B12" s="5" t="s">
        <v>140</v>
      </c>
      <c r="C12" s="5"/>
      <c r="D12" s="5" t="s">
        <v>99</v>
      </c>
      <c r="E12" s="5">
        <v>1</v>
      </c>
      <c r="F12" s="6">
        <v>236.25</v>
      </c>
      <c r="G12" s="6">
        <v>236.25</v>
      </c>
      <c r="H12" s="5"/>
      <c r="I12" s="5"/>
      <c r="J12" s="5" t="s">
        <v>431</v>
      </c>
    </row>
    <row r="13" spans="1:10" x14ac:dyDescent="0.35">
      <c r="A13" s="5">
        <v>8</v>
      </c>
      <c r="B13" s="5" t="s">
        <v>484</v>
      </c>
      <c r="C13" s="5"/>
      <c r="D13" s="5" t="s">
        <v>99</v>
      </c>
      <c r="E13" s="5">
        <v>1</v>
      </c>
      <c r="F13" s="5" t="s">
        <v>446</v>
      </c>
      <c r="G13" s="6">
        <v>0</v>
      </c>
      <c r="H13" s="5"/>
      <c r="I13" s="5"/>
      <c r="J13" s="5" t="s">
        <v>485</v>
      </c>
    </row>
    <row r="14" spans="1:10" x14ac:dyDescent="0.35">
      <c r="A14" s="19" t="s">
        <v>95</v>
      </c>
      <c r="B14" s="16"/>
      <c r="C14" s="16"/>
      <c r="D14" s="16"/>
      <c r="E14" s="16"/>
      <c r="F14" s="16"/>
      <c r="G14" s="12">
        <v>1477.72</v>
      </c>
      <c r="H14" s="13"/>
      <c r="I14" s="12"/>
      <c r="J14" s="13"/>
    </row>
    <row r="16" spans="1:10" x14ac:dyDescent="0.35">
      <c r="A16" s="20" t="s">
        <v>96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35">
      <c r="A17" s="11" t="s">
        <v>2</v>
      </c>
      <c r="B17" s="11" t="s">
        <v>85</v>
      </c>
      <c r="C17" s="11" t="s">
        <v>86</v>
      </c>
      <c r="D17" s="11" t="s">
        <v>87</v>
      </c>
      <c r="E17" s="11" t="s">
        <v>88</v>
      </c>
      <c r="F17" s="11" t="s">
        <v>89</v>
      </c>
      <c r="G17" s="11" t="s">
        <v>90</v>
      </c>
      <c r="H17" s="11" t="s">
        <v>91</v>
      </c>
      <c r="I17" s="11" t="s">
        <v>92</v>
      </c>
      <c r="J17" s="11" t="s">
        <v>93</v>
      </c>
    </row>
    <row r="18" spans="1:10" x14ac:dyDescent="0.35">
      <c r="A18" s="5">
        <v>1</v>
      </c>
      <c r="B18" s="5" t="s">
        <v>137</v>
      </c>
      <c r="C18" s="5"/>
      <c r="D18" s="5" t="s">
        <v>99</v>
      </c>
      <c r="E18" s="5">
        <v>2</v>
      </c>
      <c r="F18" s="6">
        <v>201</v>
      </c>
      <c r="G18" s="6">
        <v>402</v>
      </c>
      <c r="H18" s="5"/>
      <c r="I18" s="5"/>
      <c r="J18" s="5" t="s">
        <v>466</v>
      </c>
    </row>
    <row r="19" spans="1:10" x14ac:dyDescent="0.35">
      <c r="A19" s="5">
        <v>2</v>
      </c>
      <c r="B19" s="5" t="s">
        <v>163</v>
      </c>
      <c r="C19" s="5"/>
      <c r="D19" s="5" t="s">
        <v>99</v>
      </c>
      <c r="E19" s="5">
        <v>2</v>
      </c>
      <c r="F19" s="6">
        <v>202.55</v>
      </c>
      <c r="G19" s="6">
        <v>405.1</v>
      </c>
      <c r="H19" s="5"/>
      <c r="I19" s="5"/>
      <c r="J19" s="5" t="s">
        <v>437</v>
      </c>
    </row>
    <row r="20" spans="1:10" x14ac:dyDescent="0.35">
      <c r="A20" s="5">
        <v>3</v>
      </c>
      <c r="B20" s="5" t="s">
        <v>134</v>
      </c>
      <c r="C20" s="5"/>
      <c r="D20" s="5" t="s">
        <v>99</v>
      </c>
      <c r="E20" s="5">
        <v>2</v>
      </c>
      <c r="F20" s="6">
        <v>5</v>
      </c>
      <c r="G20" s="6">
        <v>10</v>
      </c>
      <c r="H20" s="5"/>
      <c r="I20" s="5"/>
      <c r="J20" s="5" t="s">
        <v>438</v>
      </c>
    </row>
    <row r="21" spans="1:10" x14ac:dyDescent="0.35">
      <c r="A21" s="5">
        <v>4</v>
      </c>
      <c r="B21" s="5" t="s">
        <v>298</v>
      </c>
      <c r="C21" s="5"/>
      <c r="D21" s="5" t="s">
        <v>99</v>
      </c>
      <c r="E21" s="5">
        <v>3</v>
      </c>
      <c r="F21" s="6">
        <v>20</v>
      </c>
      <c r="G21" s="6">
        <v>60</v>
      </c>
      <c r="H21" s="5"/>
      <c r="I21" s="5"/>
      <c r="J21" s="5" t="s">
        <v>441</v>
      </c>
    </row>
    <row r="22" spans="1:10" x14ac:dyDescent="0.35">
      <c r="A22" s="5">
        <v>5</v>
      </c>
      <c r="B22" s="5" t="s">
        <v>296</v>
      </c>
      <c r="C22" s="5"/>
      <c r="D22" s="5" t="s">
        <v>99</v>
      </c>
      <c r="E22" s="5">
        <v>2</v>
      </c>
      <c r="F22" s="6">
        <v>10.23</v>
      </c>
      <c r="G22" s="6">
        <v>20.46</v>
      </c>
      <c r="H22" s="5"/>
      <c r="I22" s="5"/>
      <c r="J22" s="5" t="s">
        <v>442</v>
      </c>
    </row>
    <row r="23" spans="1:10" x14ac:dyDescent="0.35">
      <c r="A23" s="5">
        <v>6</v>
      </c>
      <c r="B23" s="5" t="s">
        <v>300</v>
      </c>
      <c r="C23" s="5"/>
      <c r="D23" s="5" t="s">
        <v>99</v>
      </c>
      <c r="E23" s="5">
        <v>2</v>
      </c>
      <c r="F23" s="6">
        <v>6.04</v>
      </c>
      <c r="G23" s="6">
        <v>12.08</v>
      </c>
      <c r="H23" s="5"/>
      <c r="I23" s="5"/>
      <c r="J23" s="5" t="s">
        <v>465</v>
      </c>
    </row>
    <row r="24" spans="1:10" x14ac:dyDescent="0.35">
      <c r="A24" s="5">
        <v>7</v>
      </c>
      <c r="B24" s="5" t="s">
        <v>486</v>
      </c>
      <c r="C24" s="5"/>
      <c r="D24" s="5" t="s">
        <v>99</v>
      </c>
      <c r="E24" s="5">
        <v>7</v>
      </c>
      <c r="F24" s="6">
        <v>3.24</v>
      </c>
      <c r="G24" s="6">
        <v>22.68</v>
      </c>
      <c r="H24" s="5"/>
      <c r="I24" s="5"/>
      <c r="J24" s="5" t="s">
        <v>440</v>
      </c>
    </row>
    <row r="25" spans="1:10" x14ac:dyDescent="0.35">
      <c r="A25" s="5">
        <v>8</v>
      </c>
      <c r="B25" s="5" t="s">
        <v>487</v>
      </c>
      <c r="C25" s="5"/>
      <c r="D25" s="5" t="s">
        <v>99</v>
      </c>
      <c r="E25" s="5">
        <v>2</v>
      </c>
      <c r="F25" s="6">
        <v>19.920000000000002</v>
      </c>
      <c r="G25" s="6">
        <v>39.840000000000003</v>
      </c>
      <c r="H25" s="5"/>
      <c r="I25" s="5"/>
      <c r="J25" s="5" t="s">
        <v>488</v>
      </c>
    </row>
    <row r="26" spans="1:10" x14ac:dyDescent="0.35">
      <c r="A26" s="5">
        <v>9</v>
      </c>
      <c r="B26" s="5" t="s">
        <v>164</v>
      </c>
      <c r="C26" s="5"/>
      <c r="D26" s="5" t="s">
        <v>99</v>
      </c>
      <c r="E26" s="5">
        <v>8</v>
      </c>
      <c r="F26" s="6">
        <v>39.049999999999997</v>
      </c>
      <c r="G26" s="6">
        <v>312.39999999999998</v>
      </c>
      <c r="H26" s="5"/>
      <c r="I26" s="5"/>
      <c r="J26" s="5" t="s">
        <v>461</v>
      </c>
    </row>
    <row r="27" spans="1:10" x14ac:dyDescent="0.35">
      <c r="A27" s="5">
        <v>10</v>
      </c>
      <c r="B27" s="5" t="s">
        <v>462</v>
      </c>
      <c r="C27" s="5"/>
      <c r="D27" s="5" t="s">
        <v>99</v>
      </c>
      <c r="E27" s="5">
        <v>6</v>
      </c>
      <c r="F27" s="6">
        <v>21</v>
      </c>
      <c r="G27" s="6">
        <v>126</v>
      </c>
      <c r="H27" s="5"/>
      <c r="I27" s="5"/>
      <c r="J27" s="5" t="s">
        <v>463</v>
      </c>
    </row>
    <row r="28" spans="1:10" x14ac:dyDescent="0.35">
      <c r="A28" s="5">
        <v>11</v>
      </c>
      <c r="B28" s="5" t="s">
        <v>205</v>
      </c>
      <c r="C28" s="5"/>
      <c r="D28" s="5" t="s">
        <v>99</v>
      </c>
      <c r="E28" s="5">
        <v>1</v>
      </c>
      <c r="F28" s="6">
        <v>63.3</v>
      </c>
      <c r="G28" s="6">
        <v>63.3</v>
      </c>
      <c r="H28" s="5"/>
      <c r="I28" s="5"/>
      <c r="J28" s="5" t="s">
        <v>464</v>
      </c>
    </row>
    <row r="29" spans="1:10" x14ac:dyDescent="0.35">
      <c r="A29" s="5">
        <v>12</v>
      </c>
      <c r="B29" s="5" t="s">
        <v>489</v>
      </c>
      <c r="C29" s="5"/>
      <c r="D29" s="5" t="s">
        <v>99</v>
      </c>
      <c r="E29" s="5">
        <v>1</v>
      </c>
      <c r="F29" s="6">
        <v>150</v>
      </c>
      <c r="G29" s="6">
        <v>150</v>
      </c>
      <c r="H29" s="5"/>
      <c r="I29" s="5"/>
      <c r="J29" s="5" t="s">
        <v>490</v>
      </c>
    </row>
    <row r="30" spans="1:10" x14ac:dyDescent="0.35">
      <c r="A30" s="5">
        <v>13</v>
      </c>
      <c r="B30" s="5" t="s">
        <v>491</v>
      </c>
      <c r="C30" s="5"/>
      <c r="D30" s="5" t="s">
        <v>99</v>
      </c>
      <c r="E30" s="5">
        <v>7</v>
      </c>
      <c r="F30" s="6">
        <v>42.8</v>
      </c>
      <c r="G30" s="6">
        <v>299.60000000000002</v>
      </c>
      <c r="H30" s="5"/>
      <c r="I30" s="5"/>
      <c r="J30" s="5" t="s">
        <v>492</v>
      </c>
    </row>
    <row r="31" spans="1:10" x14ac:dyDescent="0.35">
      <c r="A31" s="5">
        <v>14</v>
      </c>
      <c r="B31" s="5" t="s">
        <v>226</v>
      </c>
      <c r="C31" s="5"/>
      <c r="D31" s="5" t="s">
        <v>99</v>
      </c>
      <c r="E31" s="5">
        <v>1</v>
      </c>
      <c r="F31" s="6">
        <v>174</v>
      </c>
      <c r="G31" s="6">
        <v>174</v>
      </c>
      <c r="H31" s="5"/>
      <c r="I31" s="5"/>
      <c r="J31" s="5" t="s">
        <v>493</v>
      </c>
    </row>
    <row r="32" spans="1:10" x14ac:dyDescent="0.35">
      <c r="A32" s="5">
        <v>15</v>
      </c>
      <c r="B32" s="5" t="s">
        <v>142</v>
      </c>
      <c r="C32" s="5"/>
      <c r="D32" s="5" t="s">
        <v>99</v>
      </c>
      <c r="E32" s="5">
        <v>1</v>
      </c>
      <c r="F32" s="6">
        <v>361</v>
      </c>
      <c r="G32" s="6">
        <v>361</v>
      </c>
      <c r="H32" s="5"/>
      <c r="I32" s="5"/>
      <c r="J32" s="5" t="s">
        <v>494</v>
      </c>
    </row>
    <row r="33" spans="1:10" x14ac:dyDescent="0.35">
      <c r="A33" s="5">
        <v>16</v>
      </c>
      <c r="B33" s="5" t="s">
        <v>495</v>
      </c>
      <c r="C33" s="5"/>
      <c r="D33" s="5" t="s">
        <v>99</v>
      </c>
      <c r="E33" s="5">
        <v>7</v>
      </c>
      <c r="F33" s="6">
        <v>12.72</v>
      </c>
      <c r="G33" s="6">
        <v>89.04</v>
      </c>
      <c r="H33" s="5"/>
      <c r="I33" s="5"/>
      <c r="J33" s="5" t="s">
        <v>444</v>
      </c>
    </row>
    <row r="34" spans="1:10" x14ac:dyDescent="0.35">
      <c r="A34" s="5">
        <v>17</v>
      </c>
      <c r="B34" s="5" t="s">
        <v>496</v>
      </c>
      <c r="C34" s="5"/>
      <c r="D34" s="5" t="s">
        <v>99</v>
      </c>
      <c r="E34" s="5">
        <v>6</v>
      </c>
      <c r="F34" s="6">
        <v>53.9</v>
      </c>
      <c r="G34" s="6">
        <v>323.39999999999998</v>
      </c>
      <c r="H34" s="5"/>
      <c r="I34" s="5"/>
      <c r="J34" s="5" t="s">
        <v>470</v>
      </c>
    </row>
    <row r="35" spans="1:10" x14ac:dyDescent="0.35">
      <c r="A35" s="5">
        <v>18</v>
      </c>
      <c r="B35" s="5" t="s">
        <v>233</v>
      </c>
      <c r="C35" s="5"/>
      <c r="D35" s="5" t="s">
        <v>99</v>
      </c>
      <c r="E35" s="5">
        <v>4</v>
      </c>
      <c r="F35" s="6">
        <v>66.64</v>
      </c>
      <c r="G35" s="6">
        <v>266.56</v>
      </c>
      <c r="H35" s="5"/>
      <c r="I35" s="5"/>
      <c r="J35" s="5" t="s">
        <v>435</v>
      </c>
    </row>
    <row r="36" spans="1:10" x14ac:dyDescent="0.35">
      <c r="A36" s="5">
        <v>19</v>
      </c>
      <c r="B36" s="5" t="s">
        <v>497</v>
      </c>
      <c r="C36" s="5"/>
      <c r="D36" s="5" t="s">
        <v>99</v>
      </c>
      <c r="E36" s="5">
        <v>4</v>
      </c>
      <c r="F36" s="6">
        <v>23.8</v>
      </c>
      <c r="G36" s="6">
        <v>95.2</v>
      </c>
      <c r="H36" s="5"/>
      <c r="I36" s="5"/>
      <c r="J36" s="5" t="s">
        <v>498</v>
      </c>
    </row>
    <row r="37" spans="1:10" x14ac:dyDescent="0.35">
      <c r="A37" s="5">
        <v>20</v>
      </c>
      <c r="B37" s="5" t="s">
        <v>499</v>
      </c>
      <c r="C37" s="5"/>
      <c r="D37" s="5" t="s">
        <v>99</v>
      </c>
      <c r="E37" s="5">
        <v>3</v>
      </c>
      <c r="F37" s="6">
        <v>591.29999999999995</v>
      </c>
      <c r="G37" s="6">
        <v>1773.9</v>
      </c>
      <c r="H37" s="5"/>
      <c r="I37" s="5"/>
      <c r="J37" s="5" t="s">
        <v>500</v>
      </c>
    </row>
    <row r="38" spans="1:10" x14ac:dyDescent="0.35">
      <c r="A38" s="5">
        <v>21</v>
      </c>
      <c r="B38" s="5" t="s">
        <v>501</v>
      </c>
      <c r="C38" s="5"/>
      <c r="D38" s="5" t="s">
        <v>99</v>
      </c>
      <c r="E38" s="5">
        <v>2</v>
      </c>
      <c r="F38" s="6">
        <v>346.9</v>
      </c>
      <c r="G38" s="6">
        <v>693.8</v>
      </c>
      <c r="H38" s="5"/>
      <c r="I38" s="5"/>
      <c r="J38" s="5" t="s">
        <v>502</v>
      </c>
    </row>
    <row r="39" spans="1:10" x14ac:dyDescent="0.35">
      <c r="A39" s="5">
        <v>22</v>
      </c>
      <c r="B39" s="5" t="s">
        <v>116</v>
      </c>
      <c r="C39" s="5"/>
      <c r="D39" s="5" t="s">
        <v>99</v>
      </c>
      <c r="E39" s="5">
        <v>2</v>
      </c>
      <c r="F39" s="6">
        <v>12.56</v>
      </c>
      <c r="G39" s="6">
        <v>25.12</v>
      </c>
      <c r="H39" s="5"/>
      <c r="I39" s="5"/>
      <c r="J39" s="5" t="s">
        <v>503</v>
      </c>
    </row>
    <row r="40" spans="1:10" x14ac:dyDescent="0.35">
      <c r="A40" s="5">
        <v>23</v>
      </c>
      <c r="B40" s="5" t="s">
        <v>315</v>
      </c>
      <c r="C40" s="5"/>
      <c r="D40" s="5" t="s">
        <v>99</v>
      </c>
      <c r="E40" s="5">
        <v>3</v>
      </c>
      <c r="F40" s="6">
        <v>67.5</v>
      </c>
      <c r="G40" s="6">
        <v>202.5</v>
      </c>
      <c r="H40" s="5"/>
      <c r="I40" s="5"/>
      <c r="J40" s="5" t="s">
        <v>504</v>
      </c>
    </row>
    <row r="41" spans="1:10" x14ac:dyDescent="0.35">
      <c r="A41" s="5">
        <v>24</v>
      </c>
      <c r="B41" s="5" t="s">
        <v>505</v>
      </c>
      <c r="C41" s="5"/>
      <c r="D41" s="5" t="s">
        <v>99</v>
      </c>
      <c r="E41" s="5">
        <v>3</v>
      </c>
      <c r="F41" s="6">
        <v>250</v>
      </c>
      <c r="G41" s="6">
        <v>750</v>
      </c>
      <c r="H41" s="5"/>
      <c r="I41" s="5"/>
      <c r="J41" s="5" t="s">
        <v>506</v>
      </c>
    </row>
    <row r="42" spans="1:10" x14ac:dyDescent="0.35">
      <c r="A42" s="19" t="s">
        <v>143</v>
      </c>
      <c r="B42" s="16"/>
      <c r="C42" s="16"/>
      <c r="D42" s="16"/>
      <c r="E42" s="16"/>
      <c r="F42" s="16"/>
      <c r="G42" s="12">
        <v>6677.98</v>
      </c>
      <c r="H42" s="13"/>
      <c r="I42" s="12"/>
      <c r="J42" s="13"/>
    </row>
    <row r="44" spans="1:10" x14ac:dyDescent="0.35">
      <c r="A44" s="20" t="s">
        <v>144</v>
      </c>
      <c r="B44" s="16"/>
      <c r="C44" s="16"/>
      <c r="D44" s="16"/>
      <c r="E44" s="16"/>
      <c r="F44" s="16"/>
      <c r="G44" s="16"/>
      <c r="H44" s="16"/>
      <c r="I44" s="16"/>
      <c r="J44" s="16"/>
    </row>
    <row r="45" spans="1:10" x14ac:dyDescent="0.35">
      <c r="A45" s="5">
        <v>1</v>
      </c>
      <c r="B45" s="5" t="s">
        <v>145</v>
      </c>
      <c r="C45" s="5" t="s">
        <v>507</v>
      </c>
      <c r="D45" s="5" t="s">
        <v>147</v>
      </c>
      <c r="E45" s="5">
        <v>6</v>
      </c>
      <c r="F45" s="6">
        <v>1000</v>
      </c>
      <c r="G45" s="6">
        <v>6000</v>
      </c>
      <c r="H45" s="5" t="s">
        <v>148</v>
      </c>
      <c r="I45" s="5" t="s">
        <v>148</v>
      </c>
      <c r="J45" s="5" t="s">
        <v>149</v>
      </c>
    </row>
    <row r="46" spans="1:10" x14ac:dyDescent="0.35">
      <c r="A46" s="19" t="s">
        <v>150</v>
      </c>
      <c r="B46" s="16"/>
      <c r="C46" s="16"/>
      <c r="D46" s="16"/>
      <c r="E46" s="16"/>
      <c r="F46" s="16"/>
      <c r="G46" s="12">
        <v>6000</v>
      </c>
      <c r="H46" s="13"/>
      <c r="I46" s="13"/>
      <c r="J46" s="13"/>
    </row>
    <row r="48" spans="1:10" x14ac:dyDescent="0.35">
      <c r="A48" s="20" t="s">
        <v>151</v>
      </c>
      <c r="B48" s="16"/>
      <c r="C48" s="16"/>
      <c r="D48" s="16"/>
      <c r="E48" s="16"/>
      <c r="F48" s="16"/>
      <c r="G48" s="16"/>
      <c r="H48" s="16"/>
      <c r="I48" s="16"/>
      <c r="J48" s="16"/>
    </row>
    <row r="49" spans="1:10" x14ac:dyDescent="0.35">
      <c r="A49" s="5">
        <v>1</v>
      </c>
      <c r="B49" s="5" t="s">
        <v>152</v>
      </c>
      <c r="C49" s="5" t="s">
        <v>508</v>
      </c>
      <c r="D49" s="5" t="s">
        <v>148</v>
      </c>
      <c r="E49" s="5">
        <v>3</v>
      </c>
      <c r="F49" s="6">
        <v>1000</v>
      </c>
      <c r="G49" s="6">
        <v>3000</v>
      </c>
      <c r="H49" s="5" t="s">
        <v>148</v>
      </c>
      <c r="I49" s="5" t="s">
        <v>148</v>
      </c>
      <c r="J49" s="5" t="s">
        <v>149</v>
      </c>
    </row>
    <row r="50" spans="1:10" x14ac:dyDescent="0.35">
      <c r="A50" s="19" t="s">
        <v>154</v>
      </c>
      <c r="B50" s="16"/>
      <c r="C50" s="16"/>
      <c r="D50" s="16"/>
      <c r="E50" s="16"/>
      <c r="F50" s="16"/>
      <c r="G50" s="12">
        <v>3000</v>
      </c>
      <c r="H50" s="13"/>
      <c r="I50" s="13"/>
      <c r="J50" s="13"/>
    </row>
    <row r="52" spans="1:10" x14ac:dyDescent="0.35">
      <c r="A52" s="15" t="s">
        <v>155</v>
      </c>
      <c r="B52" s="16"/>
      <c r="C52" s="16"/>
      <c r="D52" s="16"/>
      <c r="E52" s="16"/>
      <c r="F52" s="16"/>
      <c r="G52" s="9">
        <v>17155.7</v>
      </c>
      <c r="H52" s="8"/>
      <c r="I52" s="8"/>
      <c r="J52" s="8"/>
    </row>
    <row r="54" spans="1:10" x14ac:dyDescent="0.35">
      <c r="A54" s="1" t="s">
        <v>212</v>
      </c>
    </row>
    <row r="55" spans="1:10" x14ac:dyDescent="0.35">
      <c r="A55" s="14" t="s">
        <v>509</v>
      </c>
    </row>
  </sheetData>
  <mergeCells count="10">
    <mergeCell ref="A44:J44"/>
    <mergeCell ref="A1:J1"/>
    <mergeCell ref="A52:F52"/>
    <mergeCell ref="A42:F42"/>
    <mergeCell ref="A46:F46"/>
    <mergeCell ref="A14:F14"/>
    <mergeCell ref="A4:J4"/>
    <mergeCell ref="A48:J48"/>
    <mergeCell ref="A50:F50"/>
    <mergeCell ref="A16:J1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2"/>
  <sheetViews>
    <sheetView topLeftCell="A22"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510</v>
      </c>
      <c r="E2" t="s">
        <v>81</v>
      </c>
      <c r="G2" t="s">
        <v>511</v>
      </c>
      <c r="I2" t="s">
        <v>512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453</v>
      </c>
      <c r="C6" s="5"/>
      <c r="D6" s="5" t="s">
        <v>99</v>
      </c>
      <c r="E6" s="5">
        <v>1</v>
      </c>
      <c r="F6" s="6">
        <v>31.47</v>
      </c>
      <c r="G6" s="6">
        <v>31.47</v>
      </c>
      <c r="H6" s="5"/>
      <c r="I6" s="5"/>
      <c r="J6" s="5" t="s">
        <v>454</v>
      </c>
    </row>
    <row r="7" spans="1:10" x14ac:dyDescent="0.35">
      <c r="A7" s="5">
        <v>2</v>
      </c>
      <c r="B7" s="5" t="s">
        <v>190</v>
      </c>
      <c r="C7" s="5"/>
      <c r="D7" s="5" t="s">
        <v>99</v>
      </c>
      <c r="E7" s="5">
        <v>1</v>
      </c>
      <c r="F7" s="6">
        <v>7.3</v>
      </c>
      <c r="G7" s="6">
        <v>7.3</v>
      </c>
      <c r="H7" s="5"/>
      <c r="I7" s="5"/>
      <c r="J7" s="5" t="s">
        <v>513</v>
      </c>
    </row>
    <row r="8" spans="1:10" x14ac:dyDescent="0.35">
      <c r="A8" s="5">
        <v>3</v>
      </c>
      <c r="B8" s="5" t="s">
        <v>140</v>
      </c>
      <c r="C8" s="5"/>
      <c r="D8" s="5" t="s">
        <v>99</v>
      </c>
      <c r="E8" s="5">
        <v>1</v>
      </c>
      <c r="F8" s="6">
        <v>236.25</v>
      </c>
      <c r="G8" s="6">
        <v>236.25</v>
      </c>
      <c r="H8" s="5"/>
      <c r="I8" s="5"/>
      <c r="J8" s="5" t="s">
        <v>431</v>
      </c>
    </row>
    <row r="9" spans="1:10" x14ac:dyDescent="0.35">
      <c r="A9" s="5">
        <v>4</v>
      </c>
      <c r="B9" s="5" t="s">
        <v>514</v>
      </c>
      <c r="C9" s="5"/>
      <c r="D9" s="5" t="s">
        <v>99</v>
      </c>
      <c r="E9" s="5">
        <v>1</v>
      </c>
      <c r="F9" s="6">
        <v>165</v>
      </c>
      <c r="G9" s="6">
        <v>165</v>
      </c>
      <c r="H9" s="5"/>
      <c r="I9" s="5"/>
      <c r="J9" s="5" t="s">
        <v>515</v>
      </c>
    </row>
    <row r="10" spans="1:10" x14ac:dyDescent="0.35">
      <c r="A10" s="5">
        <v>5</v>
      </c>
      <c r="B10" s="5" t="s">
        <v>455</v>
      </c>
      <c r="C10" s="5"/>
      <c r="D10" s="5" t="s">
        <v>99</v>
      </c>
      <c r="E10" s="5">
        <v>2</v>
      </c>
      <c r="F10" s="6">
        <v>91</v>
      </c>
      <c r="G10" s="6">
        <v>182</v>
      </c>
      <c r="H10" s="5"/>
      <c r="I10" s="5"/>
      <c r="J10" s="5" t="s">
        <v>456</v>
      </c>
    </row>
    <row r="11" spans="1:10" x14ac:dyDescent="0.35">
      <c r="A11" s="5">
        <v>6</v>
      </c>
      <c r="B11" s="5" t="s">
        <v>516</v>
      </c>
      <c r="C11" s="5"/>
      <c r="D11" s="5" t="s">
        <v>99</v>
      </c>
      <c r="E11" s="5">
        <v>1</v>
      </c>
      <c r="F11" s="6">
        <v>750</v>
      </c>
      <c r="G11" s="6">
        <v>750</v>
      </c>
      <c r="H11" s="5"/>
      <c r="I11" s="5"/>
      <c r="J11" s="5" t="s">
        <v>517</v>
      </c>
    </row>
    <row r="12" spans="1:10" x14ac:dyDescent="0.35">
      <c r="A12" s="19" t="s">
        <v>95</v>
      </c>
      <c r="B12" s="16"/>
      <c r="C12" s="16"/>
      <c r="D12" s="16"/>
      <c r="E12" s="16"/>
      <c r="F12" s="16"/>
      <c r="G12" s="12">
        <v>1372.02</v>
      </c>
      <c r="H12" s="13"/>
      <c r="I12" s="12"/>
      <c r="J12" s="13"/>
    </row>
    <row r="14" spans="1:10" x14ac:dyDescent="0.35">
      <c r="A14" s="20" t="s">
        <v>96</v>
      </c>
      <c r="B14" s="16"/>
      <c r="C14" s="16"/>
      <c r="D14" s="16"/>
      <c r="E14" s="16"/>
      <c r="F14" s="16"/>
      <c r="G14" s="16"/>
      <c r="H14" s="16"/>
      <c r="I14" s="16"/>
      <c r="J14" s="16"/>
    </row>
    <row r="15" spans="1:10" x14ac:dyDescent="0.35">
      <c r="A15" s="11" t="s">
        <v>2</v>
      </c>
      <c r="B15" s="11" t="s">
        <v>85</v>
      </c>
      <c r="C15" s="11" t="s">
        <v>86</v>
      </c>
      <c r="D15" s="11" t="s">
        <v>87</v>
      </c>
      <c r="E15" s="11" t="s">
        <v>88</v>
      </c>
      <c r="F15" s="11" t="s">
        <v>89</v>
      </c>
      <c r="G15" s="11" t="s">
        <v>90</v>
      </c>
      <c r="H15" s="11" t="s">
        <v>91</v>
      </c>
      <c r="I15" s="11" t="s">
        <v>92</v>
      </c>
      <c r="J15" s="11" t="s">
        <v>93</v>
      </c>
    </row>
    <row r="16" spans="1:10" x14ac:dyDescent="0.35">
      <c r="A16" s="5">
        <v>1</v>
      </c>
      <c r="B16" s="5" t="s">
        <v>132</v>
      </c>
      <c r="C16" s="5"/>
      <c r="D16" s="5" t="s">
        <v>99</v>
      </c>
      <c r="E16" s="5">
        <v>1</v>
      </c>
      <c r="F16" s="6">
        <v>321</v>
      </c>
      <c r="G16" s="6">
        <v>321</v>
      </c>
      <c r="H16" s="5"/>
      <c r="I16" s="5"/>
      <c r="J16" s="5" t="s">
        <v>436</v>
      </c>
    </row>
    <row r="17" spans="1:10" x14ac:dyDescent="0.35">
      <c r="A17" s="5">
        <v>2</v>
      </c>
      <c r="B17" s="5" t="s">
        <v>134</v>
      </c>
      <c r="C17" s="5"/>
      <c r="D17" s="5" t="s">
        <v>99</v>
      </c>
      <c r="E17" s="5">
        <v>1</v>
      </c>
      <c r="F17" s="6">
        <v>5</v>
      </c>
      <c r="G17" s="6">
        <v>5</v>
      </c>
      <c r="H17" s="5"/>
      <c r="I17" s="5"/>
      <c r="J17" s="5" t="s">
        <v>438</v>
      </c>
    </row>
    <row r="18" spans="1:10" x14ac:dyDescent="0.35">
      <c r="A18" s="5">
        <v>3</v>
      </c>
      <c r="B18" s="5" t="s">
        <v>164</v>
      </c>
      <c r="C18" s="5"/>
      <c r="D18" s="5" t="s">
        <v>99</v>
      </c>
      <c r="E18" s="5">
        <v>2</v>
      </c>
      <c r="F18" s="6">
        <v>39.049999999999997</v>
      </c>
      <c r="G18" s="6">
        <v>78.099999999999994</v>
      </c>
      <c r="H18" s="5"/>
      <c r="I18" s="5"/>
      <c r="J18" s="5" t="s">
        <v>461</v>
      </c>
    </row>
    <row r="19" spans="1:10" x14ac:dyDescent="0.35">
      <c r="A19" s="5">
        <v>4</v>
      </c>
      <c r="B19" s="5" t="s">
        <v>518</v>
      </c>
      <c r="C19" s="5"/>
      <c r="D19" s="5" t="s">
        <v>99</v>
      </c>
      <c r="E19" s="5">
        <v>3</v>
      </c>
      <c r="F19" s="6">
        <v>62.22</v>
      </c>
      <c r="G19" s="6">
        <v>186.66</v>
      </c>
      <c r="H19" s="5"/>
      <c r="I19" s="5"/>
      <c r="J19" s="5" t="s">
        <v>519</v>
      </c>
    </row>
    <row r="20" spans="1:10" x14ac:dyDescent="0.35">
      <c r="A20" s="5">
        <v>5</v>
      </c>
      <c r="B20" s="5" t="s">
        <v>462</v>
      </c>
      <c r="C20" s="5"/>
      <c r="D20" s="5" t="s">
        <v>99</v>
      </c>
      <c r="E20" s="5">
        <v>1</v>
      </c>
      <c r="F20" s="6">
        <v>21</v>
      </c>
      <c r="G20" s="6">
        <v>21</v>
      </c>
      <c r="H20" s="5"/>
      <c r="I20" s="5"/>
      <c r="J20" s="5" t="s">
        <v>463</v>
      </c>
    </row>
    <row r="21" spans="1:10" x14ac:dyDescent="0.35">
      <c r="A21" s="5">
        <v>6</v>
      </c>
      <c r="B21" s="5" t="s">
        <v>298</v>
      </c>
      <c r="C21" s="5"/>
      <c r="D21" s="5" t="s">
        <v>99</v>
      </c>
      <c r="E21" s="5">
        <v>2</v>
      </c>
      <c r="F21" s="6">
        <v>20</v>
      </c>
      <c r="G21" s="6">
        <v>40</v>
      </c>
      <c r="H21" s="5"/>
      <c r="I21" s="5"/>
      <c r="J21" s="5" t="s">
        <v>441</v>
      </c>
    </row>
    <row r="22" spans="1:10" x14ac:dyDescent="0.35">
      <c r="A22" s="5">
        <v>7</v>
      </c>
      <c r="B22" s="5" t="s">
        <v>300</v>
      </c>
      <c r="C22" s="5"/>
      <c r="D22" s="5" t="s">
        <v>99</v>
      </c>
      <c r="E22" s="5">
        <v>2</v>
      </c>
      <c r="F22" s="6">
        <v>6.04</v>
      </c>
      <c r="G22" s="6">
        <v>12.08</v>
      </c>
      <c r="H22" s="5"/>
      <c r="I22" s="5"/>
      <c r="J22" s="5" t="s">
        <v>465</v>
      </c>
    </row>
    <row r="23" spans="1:10" x14ac:dyDescent="0.35">
      <c r="A23" s="5">
        <v>8</v>
      </c>
      <c r="B23" s="5" t="s">
        <v>486</v>
      </c>
      <c r="C23" s="5"/>
      <c r="D23" s="5" t="s">
        <v>99</v>
      </c>
      <c r="E23" s="5">
        <v>2</v>
      </c>
      <c r="F23" s="6">
        <v>3.24</v>
      </c>
      <c r="G23" s="6">
        <v>6.48</v>
      </c>
      <c r="H23" s="5"/>
      <c r="I23" s="5"/>
      <c r="J23" s="5" t="s">
        <v>440</v>
      </c>
    </row>
    <row r="24" spans="1:10" x14ac:dyDescent="0.35">
      <c r="A24" s="5">
        <v>9</v>
      </c>
      <c r="B24" s="5" t="s">
        <v>467</v>
      </c>
      <c r="C24" s="5"/>
      <c r="D24" s="5" t="s">
        <v>99</v>
      </c>
      <c r="E24" s="5">
        <v>1</v>
      </c>
      <c r="F24" s="6">
        <v>192.5</v>
      </c>
      <c r="G24" s="6">
        <v>192.5</v>
      </c>
      <c r="H24" s="5"/>
      <c r="I24" s="5"/>
      <c r="J24" s="5" t="s">
        <v>468</v>
      </c>
    </row>
    <row r="25" spans="1:10" x14ac:dyDescent="0.35">
      <c r="A25" s="5">
        <v>10</v>
      </c>
      <c r="B25" s="5" t="s">
        <v>142</v>
      </c>
      <c r="C25" s="5"/>
      <c r="D25" s="5" t="s">
        <v>99</v>
      </c>
      <c r="E25" s="5">
        <v>1</v>
      </c>
      <c r="F25" s="6">
        <v>361</v>
      </c>
      <c r="G25" s="6">
        <v>361</v>
      </c>
      <c r="H25" s="5"/>
      <c r="I25" s="5"/>
      <c r="J25" s="5" t="s">
        <v>494</v>
      </c>
    </row>
    <row r="26" spans="1:10" x14ac:dyDescent="0.35">
      <c r="A26" s="5">
        <v>11</v>
      </c>
      <c r="B26" s="5" t="s">
        <v>520</v>
      </c>
      <c r="C26" s="5"/>
      <c r="D26" s="5" t="s">
        <v>99</v>
      </c>
      <c r="E26" s="5">
        <v>5</v>
      </c>
      <c r="F26" s="6">
        <v>7.48</v>
      </c>
      <c r="G26" s="6">
        <v>37.4</v>
      </c>
      <c r="H26" s="5"/>
      <c r="I26" s="5"/>
      <c r="J26" s="5" t="s">
        <v>521</v>
      </c>
    </row>
    <row r="27" spans="1:10" x14ac:dyDescent="0.35">
      <c r="A27" s="5">
        <v>12</v>
      </c>
      <c r="B27" s="5" t="s">
        <v>233</v>
      </c>
      <c r="C27" s="5"/>
      <c r="D27" s="5" t="s">
        <v>99</v>
      </c>
      <c r="E27" s="5">
        <v>4</v>
      </c>
      <c r="F27" s="6">
        <v>66.64</v>
      </c>
      <c r="G27" s="6">
        <v>266.56</v>
      </c>
      <c r="H27" s="5"/>
      <c r="I27" s="5"/>
      <c r="J27" s="5" t="s">
        <v>435</v>
      </c>
    </row>
    <row r="28" spans="1:10" x14ac:dyDescent="0.35">
      <c r="A28" s="5">
        <v>13</v>
      </c>
      <c r="B28" s="5" t="s">
        <v>235</v>
      </c>
      <c r="C28" s="5"/>
      <c r="D28" s="5" t="s">
        <v>99</v>
      </c>
      <c r="E28" s="5">
        <v>2</v>
      </c>
      <c r="F28" s="6">
        <v>12.72</v>
      </c>
      <c r="G28" s="6">
        <v>25.44</v>
      </c>
      <c r="H28" s="5"/>
      <c r="I28" s="5"/>
      <c r="J28" s="5" t="s">
        <v>444</v>
      </c>
    </row>
    <row r="29" spans="1:10" x14ac:dyDescent="0.35">
      <c r="A29" s="5">
        <v>14</v>
      </c>
      <c r="B29" s="5" t="s">
        <v>116</v>
      </c>
      <c r="C29" s="5"/>
      <c r="D29" s="5" t="s">
        <v>99</v>
      </c>
      <c r="E29" s="5">
        <v>1</v>
      </c>
      <c r="F29" s="6">
        <v>12.56</v>
      </c>
      <c r="G29" s="6">
        <v>12.56</v>
      </c>
      <c r="H29" s="5"/>
      <c r="I29" s="5"/>
      <c r="J29" s="5" t="s">
        <v>503</v>
      </c>
    </row>
    <row r="30" spans="1:10" x14ac:dyDescent="0.35">
      <c r="A30" s="19" t="s">
        <v>143</v>
      </c>
      <c r="B30" s="16"/>
      <c r="C30" s="16"/>
      <c r="D30" s="16"/>
      <c r="E30" s="16"/>
      <c r="F30" s="16"/>
      <c r="G30" s="12">
        <v>1565.78</v>
      </c>
      <c r="H30" s="13"/>
      <c r="I30" s="12"/>
      <c r="J30" s="13"/>
    </row>
    <row r="32" spans="1:10" x14ac:dyDescent="0.35">
      <c r="A32" s="20" t="s">
        <v>144</v>
      </c>
      <c r="B32" s="16"/>
      <c r="C32" s="16"/>
      <c r="D32" s="16"/>
      <c r="E32" s="16"/>
      <c r="F32" s="16"/>
      <c r="G32" s="16"/>
      <c r="H32" s="16"/>
      <c r="I32" s="16"/>
      <c r="J32" s="16"/>
    </row>
    <row r="33" spans="1:10" x14ac:dyDescent="0.35">
      <c r="A33" s="5">
        <v>1</v>
      </c>
      <c r="B33" s="5" t="s">
        <v>145</v>
      </c>
      <c r="C33" s="5" t="s">
        <v>146</v>
      </c>
      <c r="D33" s="5" t="s">
        <v>147</v>
      </c>
      <c r="E33" s="5">
        <v>1</v>
      </c>
      <c r="F33" s="6">
        <v>1000</v>
      </c>
      <c r="G33" s="6">
        <v>1000</v>
      </c>
      <c r="H33" s="5" t="s">
        <v>148</v>
      </c>
      <c r="I33" s="5" t="s">
        <v>148</v>
      </c>
      <c r="J33" s="5" t="s">
        <v>149</v>
      </c>
    </row>
    <row r="34" spans="1:10" x14ac:dyDescent="0.35">
      <c r="A34" s="19" t="s">
        <v>150</v>
      </c>
      <c r="B34" s="16"/>
      <c r="C34" s="16"/>
      <c r="D34" s="16"/>
      <c r="E34" s="16"/>
      <c r="F34" s="16"/>
      <c r="G34" s="12">
        <v>1000</v>
      </c>
      <c r="H34" s="13"/>
      <c r="I34" s="13"/>
      <c r="J34" s="13"/>
    </row>
    <row r="36" spans="1:10" x14ac:dyDescent="0.35">
      <c r="A36" s="20" t="s">
        <v>151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35">
      <c r="A37" s="5">
        <v>1</v>
      </c>
      <c r="B37" s="5" t="s">
        <v>152</v>
      </c>
      <c r="C37" s="5" t="s">
        <v>522</v>
      </c>
      <c r="D37" s="5" t="s">
        <v>148</v>
      </c>
      <c r="E37" s="5">
        <v>2</v>
      </c>
      <c r="F37" s="6">
        <v>1000</v>
      </c>
      <c r="G37" s="6">
        <v>2000</v>
      </c>
      <c r="H37" s="5" t="s">
        <v>148</v>
      </c>
      <c r="I37" s="5" t="s">
        <v>148</v>
      </c>
      <c r="J37" s="5" t="s">
        <v>149</v>
      </c>
    </row>
    <row r="38" spans="1:10" x14ac:dyDescent="0.35">
      <c r="A38" s="19" t="s">
        <v>154</v>
      </c>
      <c r="B38" s="16"/>
      <c r="C38" s="16"/>
      <c r="D38" s="16"/>
      <c r="E38" s="16"/>
      <c r="F38" s="16"/>
      <c r="G38" s="12">
        <v>2000</v>
      </c>
      <c r="H38" s="13"/>
      <c r="I38" s="13"/>
      <c r="J38" s="13"/>
    </row>
    <row r="40" spans="1:10" x14ac:dyDescent="0.35">
      <c r="A40" s="15" t="s">
        <v>155</v>
      </c>
      <c r="B40" s="16"/>
      <c r="C40" s="16"/>
      <c r="D40" s="16"/>
      <c r="E40" s="16"/>
      <c r="F40" s="16"/>
      <c r="G40" s="9">
        <v>5937.8</v>
      </c>
      <c r="H40" s="8"/>
      <c r="I40" s="8"/>
      <c r="J40" s="8"/>
    </row>
    <row r="42" spans="1:10" x14ac:dyDescent="0.35">
      <c r="A42" s="1" t="s">
        <v>212</v>
      </c>
    </row>
  </sheetData>
  <mergeCells count="10">
    <mergeCell ref="A40:F40"/>
    <mergeCell ref="A30:F30"/>
    <mergeCell ref="A38:F38"/>
    <mergeCell ref="A1:J1"/>
    <mergeCell ref="A32:J32"/>
    <mergeCell ref="A36:J36"/>
    <mergeCell ref="A14:J14"/>
    <mergeCell ref="A4:J4"/>
    <mergeCell ref="A34:F34"/>
    <mergeCell ref="A12:F1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29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523</v>
      </c>
      <c r="E2" t="s">
        <v>81</v>
      </c>
      <c r="G2" t="s">
        <v>511</v>
      </c>
      <c r="I2" t="s">
        <v>524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455</v>
      </c>
      <c r="C6" s="5"/>
      <c r="D6" s="5" t="s">
        <v>99</v>
      </c>
      <c r="E6" s="5">
        <v>2</v>
      </c>
      <c r="F6" s="6">
        <v>91</v>
      </c>
      <c r="G6" s="6">
        <v>182</v>
      </c>
      <c r="H6" s="5"/>
      <c r="I6" s="5"/>
      <c r="J6" s="5" t="s">
        <v>456</v>
      </c>
    </row>
    <row r="7" spans="1:10" x14ac:dyDescent="0.35">
      <c r="A7" s="5">
        <v>2</v>
      </c>
      <c r="B7" s="5" t="s">
        <v>140</v>
      </c>
      <c r="C7" s="5"/>
      <c r="D7" s="5" t="s">
        <v>99</v>
      </c>
      <c r="E7" s="5">
        <v>1</v>
      </c>
      <c r="F7" s="6">
        <v>236.25</v>
      </c>
      <c r="G7" s="6">
        <v>236.25</v>
      </c>
      <c r="H7" s="5"/>
      <c r="I7" s="5"/>
      <c r="J7" s="5" t="s">
        <v>431</v>
      </c>
    </row>
    <row r="8" spans="1:10" x14ac:dyDescent="0.35">
      <c r="A8" s="19" t="s">
        <v>95</v>
      </c>
      <c r="B8" s="16"/>
      <c r="C8" s="16"/>
      <c r="D8" s="16"/>
      <c r="E8" s="16"/>
      <c r="F8" s="16"/>
      <c r="G8" s="12">
        <v>418.25</v>
      </c>
      <c r="H8" s="13"/>
      <c r="I8" s="12"/>
      <c r="J8" s="13"/>
    </row>
    <row r="10" spans="1:10" x14ac:dyDescent="0.35">
      <c r="A10" s="20" t="s">
        <v>96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x14ac:dyDescent="0.35">
      <c r="A11" s="11" t="s">
        <v>2</v>
      </c>
      <c r="B11" s="11" t="s">
        <v>85</v>
      </c>
      <c r="C11" s="11" t="s">
        <v>86</v>
      </c>
      <c r="D11" s="11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  <c r="I11" s="11" t="s">
        <v>92</v>
      </c>
      <c r="J11" s="11" t="s">
        <v>93</v>
      </c>
    </row>
    <row r="12" spans="1:10" x14ac:dyDescent="0.35">
      <c r="A12" s="5">
        <v>1</v>
      </c>
      <c r="B12" s="5" t="s">
        <v>163</v>
      </c>
      <c r="C12" s="5"/>
      <c r="D12" s="5" t="s">
        <v>99</v>
      </c>
      <c r="E12" s="5">
        <v>1</v>
      </c>
      <c r="F12" s="6">
        <v>202.55</v>
      </c>
      <c r="G12" s="6">
        <v>202.55</v>
      </c>
      <c r="H12" s="5"/>
      <c r="I12" s="5"/>
      <c r="J12" s="5" t="s">
        <v>437</v>
      </c>
    </row>
    <row r="13" spans="1:10" x14ac:dyDescent="0.35">
      <c r="A13" s="5">
        <v>2</v>
      </c>
      <c r="B13" s="5" t="s">
        <v>134</v>
      </c>
      <c r="C13" s="5"/>
      <c r="D13" s="5" t="s">
        <v>99</v>
      </c>
      <c r="E13" s="5">
        <v>1</v>
      </c>
      <c r="F13" s="6">
        <v>5</v>
      </c>
      <c r="G13" s="6">
        <v>5</v>
      </c>
      <c r="H13" s="5"/>
      <c r="I13" s="5"/>
      <c r="J13" s="5" t="s">
        <v>438</v>
      </c>
    </row>
    <row r="14" spans="1:10" x14ac:dyDescent="0.35">
      <c r="A14" s="5">
        <v>3</v>
      </c>
      <c r="B14" s="5" t="s">
        <v>462</v>
      </c>
      <c r="C14" s="5"/>
      <c r="D14" s="5" t="s">
        <v>99</v>
      </c>
      <c r="E14" s="5">
        <v>1</v>
      </c>
      <c r="F14" s="6">
        <v>21</v>
      </c>
      <c r="G14" s="6">
        <v>21</v>
      </c>
      <c r="H14" s="5"/>
      <c r="I14" s="5"/>
      <c r="J14" s="5" t="s">
        <v>463</v>
      </c>
    </row>
    <row r="15" spans="1:10" x14ac:dyDescent="0.35">
      <c r="A15" s="5">
        <v>4</v>
      </c>
      <c r="B15" s="5" t="s">
        <v>137</v>
      </c>
      <c r="C15" s="5"/>
      <c r="D15" s="5" t="s">
        <v>99</v>
      </c>
      <c r="E15" s="5">
        <v>1</v>
      </c>
      <c r="F15" s="6">
        <v>201</v>
      </c>
      <c r="G15" s="6">
        <v>201</v>
      </c>
      <c r="H15" s="5"/>
      <c r="I15" s="5"/>
      <c r="J15" s="5" t="s">
        <v>466</v>
      </c>
    </row>
    <row r="16" spans="1:10" x14ac:dyDescent="0.35">
      <c r="A16" s="5">
        <v>5</v>
      </c>
      <c r="B16" s="5" t="s">
        <v>164</v>
      </c>
      <c r="C16" s="5"/>
      <c r="D16" s="5" t="s">
        <v>99</v>
      </c>
      <c r="E16" s="5">
        <v>1</v>
      </c>
      <c r="F16" s="6">
        <v>39.049999999999997</v>
      </c>
      <c r="G16" s="6">
        <v>39.049999999999997</v>
      </c>
      <c r="H16" s="5"/>
      <c r="I16" s="5"/>
      <c r="J16" s="5" t="s">
        <v>461</v>
      </c>
    </row>
    <row r="17" spans="1:10" x14ac:dyDescent="0.35">
      <c r="A17" s="19" t="s">
        <v>143</v>
      </c>
      <c r="B17" s="16"/>
      <c r="C17" s="16"/>
      <c r="D17" s="16"/>
      <c r="E17" s="16"/>
      <c r="F17" s="16"/>
      <c r="G17" s="12">
        <v>468.6</v>
      </c>
      <c r="H17" s="13"/>
      <c r="I17" s="12"/>
      <c r="J17" s="13"/>
    </row>
    <row r="19" spans="1:10" x14ac:dyDescent="0.35">
      <c r="A19" s="20" t="s">
        <v>144</v>
      </c>
      <c r="B19" s="16"/>
      <c r="C19" s="16"/>
      <c r="D19" s="16"/>
      <c r="E19" s="16"/>
      <c r="F19" s="16"/>
      <c r="G19" s="16"/>
      <c r="H19" s="16"/>
      <c r="I19" s="16"/>
      <c r="J19" s="16"/>
    </row>
    <row r="20" spans="1:10" x14ac:dyDescent="0.35">
      <c r="A20" s="5">
        <v>1</v>
      </c>
      <c r="B20" s="5" t="s">
        <v>145</v>
      </c>
      <c r="C20" s="5" t="s">
        <v>146</v>
      </c>
      <c r="D20" s="5" t="s">
        <v>147</v>
      </c>
      <c r="E20" s="5">
        <v>1</v>
      </c>
      <c r="F20" s="6">
        <v>1000</v>
      </c>
      <c r="G20" s="6">
        <v>1000</v>
      </c>
      <c r="H20" s="5" t="s">
        <v>148</v>
      </c>
      <c r="I20" s="5" t="s">
        <v>148</v>
      </c>
      <c r="J20" s="5" t="s">
        <v>149</v>
      </c>
    </row>
    <row r="21" spans="1:10" x14ac:dyDescent="0.35">
      <c r="A21" s="19" t="s">
        <v>150</v>
      </c>
      <c r="B21" s="16"/>
      <c r="C21" s="16"/>
      <c r="D21" s="16"/>
      <c r="E21" s="16"/>
      <c r="F21" s="16"/>
      <c r="G21" s="12">
        <v>1000</v>
      </c>
      <c r="H21" s="13"/>
      <c r="I21" s="13"/>
      <c r="J21" s="13"/>
    </row>
    <row r="23" spans="1:10" x14ac:dyDescent="0.35">
      <c r="A23" s="20" t="s">
        <v>151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x14ac:dyDescent="0.35">
      <c r="A24" s="5">
        <v>1</v>
      </c>
      <c r="B24" s="5" t="s">
        <v>152</v>
      </c>
      <c r="C24" s="5" t="s">
        <v>522</v>
      </c>
      <c r="D24" s="5" t="s">
        <v>148</v>
      </c>
      <c r="E24" s="5">
        <v>2</v>
      </c>
      <c r="F24" s="6">
        <v>1000</v>
      </c>
      <c r="G24" s="6">
        <v>2000</v>
      </c>
      <c r="H24" s="5" t="s">
        <v>148</v>
      </c>
      <c r="I24" s="5" t="s">
        <v>148</v>
      </c>
      <c r="J24" s="5" t="s">
        <v>149</v>
      </c>
    </row>
    <row r="25" spans="1:10" x14ac:dyDescent="0.35">
      <c r="A25" s="19" t="s">
        <v>154</v>
      </c>
      <c r="B25" s="16"/>
      <c r="C25" s="16"/>
      <c r="D25" s="16"/>
      <c r="E25" s="16"/>
      <c r="F25" s="16"/>
      <c r="G25" s="12">
        <v>2000</v>
      </c>
      <c r="H25" s="13"/>
      <c r="I25" s="13"/>
      <c r="J25" s="13"/>
    </row>
    <row r="27" spans="1:10" x14ac:dyDescent="0.35">
      <c r="A27" s="15" t="s">
        <v>155</v>
      </c>
      <c r="B27" s="16"/>
      <c r="C27" s="16"/>
      <c r="D27" s="16"/>
      <c r="E27" s="16"/>
      <c r="F27" s="16"/>
      <c r="G27" s="9">
        <v>3886.85</v>
      </c>
      <c r="H27" s="8"/>
      <c r="I27" s="8"/>
      <c r="J27" s="8"/>
    </row>
    <row r="29" spans="1:10" x14ac:dyDescent="0.35">
      <c r="A29" s="1" t="s">
        <v>212</v>
      </c>
    </row>
  </sheetData>
  <mergeCells count="10">
    <mergeCell ref="A1:J1"/>
    <mergeCell ref="A23:J23"/>
    <mergeCell ref="A27:F27"/>
    <mergeCell ref="A8:F8"/>
    <mergeCell ref="A4:J4"/>
    <mergeCell ref="A17:F17"/>
    <mergeCell ref="A25:F25"/>
    <mergeCell ref="A21:F21"/>
    <mergeCell ref="A10:J10"/>
    <mergeCell ref="A19:J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8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80</v>
      </c>
      <c r="E2" t="s">
        <v>81</v>
      </c>
      <c r="G2" t="s">
        <v>525</v>
      </c>
      <c r="I2" t="s">
        <v>526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527</v>
      </c>
      <c r="C6" s="5"/>
      <c r="D6" s="5" t="s">
        <v>99</v>
      </c>
      <c r="E6" s="5">
        <v>1</v>
      </c>
      <c r="F6" s="6">
        <v>118.13</v>
      </c>
      <c r="G6" s="6">
        <v>118.13</v>
      </c>
      <c r="H6" s="5"/>
      <c r="I6" s="5"/>
      <c r="J6" s="5" t="s">
        <v>528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118.13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163</v>
      </c>
      <c r="C11" s="5"/>
      <c r="D11" s="5" t="s">
        <v>99</v>
      </c>
      <c r="E11" s="5">
        <v>1</v>
      </c>
      <c r="F11" s="6">
        <v>202.55</v>
      </c>
      <c r="G11" s="6">
        <v>202.55</v>
      </c>
      <c r="H11" s="5"/>
      <c r="I11" s="5"/>
      <c r="J11" s="5" t="s">
        <v>437</v>
      </c>
    </row>
    <row r="12" spans="1:10" x14ac:dyDescent="0.35">
      <c r="A12" s="5">
        <v>2</v>
      </c>
      <c r="B12" s="5" t="s">
        <v>134</v>
      </c>
      <c r="C12" s="5"/>
      <c r="D12" s="5" t="s">
        <v>99</v>
      </c>
      <c r="E12" s="5">
        <v>1</v>
      </c>
      <c r="F12" s="6">
        <v>5</v>
      </c>
      <c r="G12" s="6">
        <v>5</v>
      </c>
      <c r="H12" s="5"/>
      <c r="I12" s="5"/>
      <c r="J12" s="5" t="s">
        <v>438</v>
      </c>
    </row>
    <row r="13" spans="1:10" x14ac:dyDescent="0.35">
      <c r="A13" s="5">
        <v>3</v>
      </c>
      <c r="B13" s="5" t="s">
        <v>486</v>
      </c>
      <c r="C13" s="5"/>
      <c r="D13" s="5" t="s">
        <v>99</v>
      </c>
      <c r="E13" s="5">
        <v>1</v>
      </c>
      <c r="F13" s="6">
        <v>3.24</v>
      </c>
      <c r="G13" s="6">
        <v>3.24</v>
      </c>
      <c r="H13" s="5"/>
      <c r="I13" s="5"/>
      <c r="J13" s="5" t="s">
        <v>440</v>
      </c>
    </row>
    <row r="14" spans="1:10" x14ac:dyDescent="0.35">
      <c r="A14" s="5">
        <v>4</v>
      </c>
      <c r="B14" s="5" t="s">
        <v>296</v>
      </c>
      <c r="C14" s="5"/>
      <c r="D14" s="5" t="s">
        <v>99</v>
      </c>
      <c r="E14" s="5">
        <v>1</v>
      </c>
      <c r="F14" s="6">
        <v>10.23</v>
      </c>
      <c r="G14" s="6">
        <v>10.23</v>
      </c>
      <c r="H14" s="5"/>
      <c r="I14" s="5"/>
      <c r="J14" s="5" t="s">
        <v>442</v>
      </c>
    </row>
    <row r="15" spans="1:10" x14ac:dyDescent="0.35">
      <c r="A15" s="5">
        <v>5</v>
      </c>
      <c r="B15" s="5" t="s">
        <v>164</v>
      </c>
      <c r="C15" s="5"/>
      <c r="D15" s="5" t="s">
        <v>99</v>
      </c>
      <c r="E15" s="5">
        <v>1</v>
      </c>
      <c r="F15" s="6">
        <v>39.049999999999997</v>
      </c>
      <c r="G15" s="6">
        <v>39.049999999999997</v>
      </c>
      <c r="H15" s="5"/>
      <c r="I15" s="5"/>
      <c r="J15" s="5" t="s">
        <v>461</v>
      </c>
    </row>
    <row r="16" spans="1:10" x14ac:dyDescent="0.35">
      <c r="A16" s="19" t="s">
        <v>143</v>
      </c>
      <c r="B16" s="16"/>
      <c r="C16" s="16"/>
      <c r="D16" s="16"/>
      <c r="E16" s="16"/>
      <c r="F16" s="16"/>
      <c r="G16" s="12">
        <v>260.07</v>
      </c>
      <c r="H16" s="13"/>
      <c r="I16" s="12"/>
      <c r="J16" s="13"/>
    </row>
    <row r="18" spans="1:10" x14ac:dyDescent="0.35">
      <c r="A18" s="20" t="s">
        <v>144</v>
      </c>
      <c r="B18" s="16"/>
      <c r="C18" s="16"/>
      <c r="D18" s="16"/>
      <c r="E18" s="16"/>
      <c r="F18" s="16"/>
      <c r="G18" s="16"/>
      <c r="H18" s="16"/>
      <c r="I18" s="16"/>
      <c r="J18" s="16"/>
    </row>
    <row r="19" spans="1:10" x14ac:dyDescent="0.35">
      <c r="A19" s="5">
        <v>1</v>
      </c>
      <c r="B19" s="5" t="s">
        <v>145</v>
      </c>
      <c r="C19" s="5" t="s">
        <v>146</v>
      </c>
      <c r="D19" s="5" t="s">
        <v>147</v>
      </c>
      <c r="E19" s="5">
        <v>1</v>
      </c>
      <c r="F19" s="6">
        <v>1000</v>
      </c>
      <c r="G19" s="6">
        <v>1000</v>
      </c>
      <c r="H19" s="5" t="s">
        <v>148</v>
      </c>
      <c r="I19" s="5" t="s">
        <v>148</v>
      </c>
      <c r="J19" s="5" t="s">
        <v>149</v>
      </c>
    </row>
    <row r="20" spans="1:10" x14ac:dyDescent="0.35">
      <c r="A20" s="19" t="s">
        <v>150</v>
      </c>
      <c r="B20" s="16"/>
      <c r="C20" s="16"/>
      <c r="D20" s="16"/>
      <c r="E20" s="16"/>
      <c r="F20" s="16"/>
      <c r="G20" s="12">
        <v>1000</v>
      </c>
      <c r="H20" s="13"/>
      <c r="I20" s="13"/>
      <c r="J20" s="13"/>
    </row>
    <row r="22" spans="1:10" x14ac:dyDescent="0.35">
      <c r="A22" s="20" t="s">
        <v>151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5">
      <c r="A23" s="5">
        <v>1</v>
      </c>
      <c r="B23" s="5" t="s">
        <v>152</v>
      </c>
      <c r="C23" s="5" t="s">
        <v>448</v>
      </c>
      <c r="D23" s="5" t="s">
        <v>148</v>
      </c>
      <c r="E23" s="5">
        <v>1</v>
      </c>
      <c r="F23" s="6">
        <v>1000</v>
      </c>
      <c r="G23" s="6">
        <v>1000</v>
      </c>
      <c r="H23" s="5" t="s">
        <v>148</v>
      </c>
      <c r="I23" s="5" t="s">
        <v>148</v>
      </c>
      <c r="J23" s="5" t="s">
        <v>149</v>
      </c>
    </row>
    <row r="24" spans="1:10" x14ac:dyDescent="0.35">
      <c r="A24" s="19" t="s">
        <v>154</v>
      </c>
      <c r="B24" s="16"/>
      <c r="C24" s="16"/>
      <c r="D24" s="16"/>
      <c r="E24" s="16"/>
      <c r="F24" s="16"/>
      <c r="G24" s="12">
        <v>1000</v>
      </c>
      <c r="H24" s="13"/>
      <c r="I24" s="13"/>
      <c r="J24" s="13"/>
    </row>
    <row r="26" spans="1:10" x14ac:dyDescent="0.35">
      <c r="A26" s="15" t="s">
        <v>155</v>
      </c>
      <c r="B26" s="16"/>
      <c r="C26" s="16"/>
      <c r="D26" s="16"/>
      <c r="E26" s="16"/>
      <c r="F26" s="16"/>
      <c r="G26" s="9">
        <v>2378.1999999999998</v>
      </c>
      <c r="H26" s="8"/>
      <c r="I26" s="8"/>
      <c r="J26" s="8"/>
    </row>
    <row r="28" spans="1:10" x14ac:dyDescent="0.35">
      <c r="A28" s="1" t="s">
        <v>212</v>
      </c>
    </row>
  </sheetData>
  <mergeCells count="10">
    <mergeCell ref="A1:J1"/>
    <mergeCell ref="A22:J22"/>
    <mergeCell ref="A9:J9"/>
    <mergeCell ref="A18:J18"/>
    <mergeCell ref="A4:J4"/>
    <mergeCell ref="A26:F26"/>
    <mergeCell ref="A20:F20"/>
    <mergeCell ref="A7:F7"/>
    <mergeCell ref="A24:F24"/>
    <mergeCell ref="A16:F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33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529</v>
      </c>
      <c r="E2" t="s">
        <v>81</v>
      </c>
      <c r="G2" t="s">
        <v>525</v>
      </c>
      <c r="I2" t="s">
        <v>524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457</v>
      </c>
      <c r="C6" s="5"/>
      <c r="D6" s="5" t="s">
        <v>99</v>
      </c>
      <c r="E6" s="5">
        <v>1</v>
      </c>
      <c r="F6" s="5" t="s">
        <v>446</v>
      </c>
      <c r="G6" s="6">
        <v>0</v>
      </c>
      <c r="H6" s="5"/>
      <c r="I6" s="5"/>
      <c r="J6" s="5" t="s">
        <v>458</v>
      </c>
    </row>
    <row r="7" spans="1:10" x14ac:dyDescent="0.35">
      <c r="A7" s="5">
        <v>2</v>
      </c>
      <c r="B7" s="5" t="s">
        <v>140</v>
      </c>
      <c r="C7" s="5"/>
      <c r="D7" s="5" t="s">
        <v>99</v>
      </c>
      <c r="E7" s="5">
        <v>1</v>
      </c>
      <c r="F7" s="6">
        <v>236.25</v>
      </c>
      <c r="G7" s="6">
        <v>236.25</v>
      </c>
      <c r="H7" s="5"/>
      <c r="I7" s="5"/>
      <c r="J7" s="5" t="s">
        <v>431</v>
      </c>
    </row>
    <row r="8" spans="1:10" x14ac:dyDescent="0.35">
      <c r="A8" s="19" t="s">
        <v>95</v>
      </c>
      <c r="B8" s="16"/>
      <c r="C8" s="16"/>
      <c r="D8" s="16"/>
      <c r="E8" s="16"/>
      <c r="F8" s="16"/>
      <c r="G8" s="12">
        <v>236.25</v>
      </c>
      <c r="H8" s="13"/>
      <c r="I8" s="12"/>
      <c r="J8" s="13"/>
    </row>
    <row r="10" spans="1:10" x14ac:dyDescent="0.35">
      <c r="A10" s="20" t="s">
        <v>96</v>
      </c>
      <c r="B10" s="16"/>
      <c r="C10" s="16"/>
      <c r="D10" s="16"/>
      <c r="E10" s="16"/>
      <c r="F10" s="16"/>
      <c r="G10" s="16"/>
      <c r="H10" s="16"/>
      <c r="I10" s="16"/>
      <c r="J10" s="16"/>
    </row>
    <row r="11" spans="1:10" x14ac:dyDescent="0.35">
      <c r="A11" s="11" t="s">
        <v>2</v>
      </c>
      <c r="B11" s="11" t="s">
        <v>85</v>
      </c>
      <c r="C11" s="11" t="s">
        <v>86</v>
      </c>
      <c r="D11" s="11" t="s">
        <v>87</v>
      </c>
      <c r="E11" s="11" t="s">
        <v>88</v>
      </c>
      <c r="F11" s="11" t="s">
        <v>89</v>
      </c>
      <c r="G11" s="11" t="s">
        <v>90</v>
      </c>
      <c r="H11" s="11" t="s">
        <v>91</v>
      </c>
      <c r="I11" s="11" t="s">
        <v>92</v>
      </c>
      <c r="J11" s="11" t="s">
        <v>93</v>
      </c>
    </row>
    <row r="12" spans="1:10" x14ac:dyDescent="0.35">
      <c r="A12" s="5">
        <v>1</v>
      </c>
      <c r="B12" s="5" t="s">
        <v>163</v>
      </c>
      <c r="C12" s="5"/>
      <c r="D12" s="5" t="s">
        <v>99</v>
      </c>
      <c r="E12" s="5">
        <v>1</v>
      </c>
      <c r="F12" s="6">
        <v>202.55</v>
      </c>
      <c r="G12" s="6">
        <v>202.55</v>
      </c>
      <c r="H12" s="5"/>
      <c r="I12" s="5"/>
      <c r="J12" s="5" t="s">
        <v>437</v>
      </c>
    </row>
    <row r="13" spans="1:10" x14ac:dyDescent="0.35">
      <c r="A13" s="5">
        <v>2</v>
      </c>
      <c r="B13" s="5" t="s">
        <v>235</v>
      </c>
      <c r="C13" s="5"/>
      <c r="D13" s="5" t="s">
        <v>99</v>
      </c>
      <c r="E13" s="5">
        <v>1</v>
      </c>
      <c r="F13" s="6">
        <v>12.72</v>
      </c>
      <c r="G13" s="6">
        <v>12.72</v>
      </c>
      <c r="H13" s="5"/>
      <c r="I13" s="5"/>
      <c r="J13" s="5" t="s">
        <v>444</v>
      </c>
    </row>
    <row r="14" spans="1:10" x14ac:dyDescent="0.35">
      <c r="A14" s="5">
        <v>3</v>
      </c>
      <c r="B14" s="5" t="s">
        <v>496</v>
      </c>
      <c r="C14" s="5"/>
      <c r="D14" s="5" t="s">
        <v>99</v>
      </c>
      <c r="E14" s="5">
        <v>1</v>
      </c>
      <c r="F14" s="6">
        <v>53.9</v>
      </c>
      <c r="G14" s="6">
        <v>53.9</v>
      </c>
      <c r="H14" s="5"/>
      <c r="I14" s="5"/>
      <c r="J14" s="5" t="s">
        <v>470</v>
      </c>
    </row>
    <row r="15" spans="1:10" x14ac:dyDescent="0.35">
      <c r="A15" s="5">
        <v>4</v>
      </c>
      <c r="B15" s="5" t="s">
        <v>530</v>
      </c>
      <c r="C15" s="5"/>
      <c r="D15" s="5" t="s">
        <v>99</v>
      </c>
      <c r="E15" s="5">
        <v>1</v>
      </c>
      <c r="F15" s="6">
        <v>15.9</v>
      </c>
      <c r="G15" s="6">
        <v>15.9</v>
      </c>
      <c r="H15" s="5"/>
      <c r="I15" s="5"/>
      <c r="J15" s="5" t="s">
        <v>531</v>
      </c>
    </row>
    <row r="16" spans="1:10" x14ac:dyDescent="0.35">
      <c r="A16" s="5">
        <v>5</v>
      </c>
      <c r="B16" s="5" t="s">
        <v>298</v>
      </c>
      <c r="C16" s="5"/>
      <c r="D16" s="5" t="s">
        <v>99</v>
      </c>
      <c r="E16" s="5">
        <v>1</v>
      </c>
      <c r="F16" s="6">
        <v>20</v>
      </c>
      <c r="G16" s="6">
        <v>20</v>
      </c>
      <c r="H16" s="5"/>
      <c r="I16" s="5"/>
      <c r="J16" s="5" t="s">
        <v>441</v>
      </c>
    </row>
    <row r="17" spans="1:10" x14ac:dyDescent="0.35">
      <c r="A17" s="5">
        <v>6</v>
      </c>
      <c r="B17" s="5" t="s">
        <v>134</v>
      </c>
      <c r="C17" s="5"/>
      <c r="D17" s="5" t="s">
        <v>99</v>
      </c>
      <c r="E17" s="5">
        <v>1</v>
      </c>
      <c r="F17" s="6">
        <v>5</v>
      </c>
      <c r="G17" s="6">
        <v>5</v>
      </c>
      <c r="H17" s="5"/>
      <c r="I17" s="5"/>
      <c r="J17" s="5" t="s">
        <v>438</v>
      </c>
    </row>
    <row r="18" spans="1:10" x14ac:dyDescent="0.35">
      <c r="A18" s="5">
        <v>7</v>
      </c>
      <c r="B18" s="5" t="s">
        <v>137</v>
      </c>
      <c r="C18" s="5"/>
      <c r="D18" s="5" t="s">
        <v>99</v>
      </c>
      <c r="E18" s="5">
        <v>1</v>
      </c>
      <c r="F18" s="6">
        <v>201</v>
      </c>
      <c r="G18" s="6">
        <v>201</v>
      </c>
      <c r="H18" s="5"/>
      <c r="I18" s="5"/>
      <c r="J18" s="5" t="s">
        <v>466</v>
      </c>
    </row>
    <row r="19" spans="1:10" x14ac:dyDescent="0.35">
      <c r="A19" s="5">
        <v>8</v>
      </c>
      <c r="B19" s="5" t="s">
        <v>462</v>
      </c>
      <c r="C19" s="5"/>
      <c r="D19" s="5" t="s">
        <v>99</v>
      </c>
      <c r="E19" s="5">
        <v>1</v>
      </c>
      <c r="F19" s="6">
        <v>21</v>
      </c>
      <c r="G19" s="6">
        <v>21</v>
      </c>
      <c r="H19" s="5"/>
      <c r="I19" s="5"/>
      <c r="J19" s="5" t="s">
        <v>463</v>
      </c>
    </row>
    <row r="20" spans="1:10" x14ac:dyDescent="0.35">
      <c r="A20" s="19" t="s">
        <v>143</v>
      </c>
      <c r="B20" s="16"/>
      <c r="C20" s="16"/>
      <c r="D20" s="16"/>
      <c r="E20" s="16"/>
      <c r="F20" s="16"/>
      <c r="G20" s="12">
        <v>532.07000000000005</v>
      </c>
      <c r="H20" s="13"/>
      <c r="I20" s="12"/>
      <c r="J20" s="13"/>
    </row>
    <row r="22" spans="1:10" x14ac:dyDescent="0.35">
      <c r="A22" s="20" t="s">
        <v>144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5">
      <c r="A23" s="5">
        <v>1</v>
      </c>
      <c r="B23" s="5" t="s">
        <v>145</v>
      </c>
      <c r="C23" s="5" t="s">
        <v>532</v>
      </c>
      <c r="D23" s="5" t="s">
        <v>147</v>
      </c>
      <c r="E23" s="5">
        <v>2</v>
      </c>
      <c r="F23" s="6">
        <v>1000</v>
      </c>
      <c r="G23" s="6">
        <v>2000</v>
      </c>
      <c r="H23" s="5" t="s">
        <v>148</v>
      </c>
      <c r="I23" s="5" t="s">
        <v>148</v>
      </c>
      <c r="J23" s="5" t="s">
        <v>149</v>
      </c>
    </row>
    <row r="24" spans="1:10" x14ac:dyDescent="0.35">
      <c r="A24" s="19" t="s">
        <v>150</v>
      </c>
      <c r="B24" s="16"/>
      <c r="C24" s="16"/>
      <c r="D24" s="16"/>
      <c r="E24" s="16"/>
      <c r="F24" s="16"/>
      <c r="G24" s="12">
        <v>2000</v>
      </c>
      <c r="H24" s="13"/>
      <c r="I24" s="13"/>
      <c r="J24" s="13"/>
    </row>
    <row r="26" spans="1:10" x14ac:dyDescent="0.35">
      <c r="A26" s="20" t="s">
        <v>151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5">
        <v>1</v>
      </c>
      <c r="B27" s="5" t="s">
        <v>152</v>
      </c>
      <c r="C27" s="5" t="s">
        <v>448</v>
      </c>
      <c r="D27" s="5" t="s">
        <v>148</v>
      </c>
      <c r="E27" s="5">
        <v>1</v>
      </c>
      <c r="F27" s="6">
        <v>1000</v>
      </c>
      <c r="G27" s="6">
        <v>1000</v>
      </c>
      <c r="H27" s="5" t="s">
        <v>148</v>
      </c>
      <c r="I27" s="5" t="s">
        <v>148</v>
      </c>
      <c r="J27" s="5" t="s">
        <v>149</v>
      </c>
    </row>
    <row r="28" spans="1:10" x14ac:dyDescent="0.35">
      <c r="A28" s="19" t="s">
        <v>154</v>
      </c>
      <c r="B28" s="16"/>
      <c r="C28" s="16"/>
      <c r="D28" s="16"/>
      <c r="E28" s="16"/>
      <c r="F28" s="16"/>
      <c r="G28" s="12">
        <v>1000</v>
      </c>
      <c r="H28" s="13"/>
      <c r="I28" s="13"/>
      <c r="J28" s="13"/>
    </row>
    <row r="30" spans="1:10" x14ac:dyDescent="0.35">
      <c r="A30" s="15" t="s">
        <v>155</v>
      </c>
      <c r="B30" s="16"/>
      <c r="C30" s="16"/>
      <c r="D30" s="16"/>
      <c r="E30" s="16"/>
      <c r="F30" s="16"/>
      <c r="G30" s="9">
        <v>3768.32</v>
      </c>
      <c r="H30" s="8"/>
      <c r="I30" s="8"/>
      <c r="J30" s="8"/>
    </row>
    <row r="32" spans="1:10" x14ac:dyDescent="0.35">
      <c r="A32" s="1" t="s">
        <v>212</v>
      </c>
    </row>
    <row r="33" spans="1:1" x14ac:dyDescent="0.35">
      <c r="A33" s="14" t="s">
        <v>472</v>
      </c>
    </row>
  </sheetData>
  <mergeCells count="10">
    <mergeCell ref="A30:F30"/>
    <mergeCell ref="A10:J10"/>
    <mergeCell ref="A24:F24"/>
    <mergeCell ref="A1:J1"/>
    <mergeCell ref="A28:F28"/>
    <mergeCell ref="A22:J22"/>
    <mergeCell ref="A8:F8"/>
    <mergeCell ref="A4:J4"/>
    <mergeCell ref="A26:J26"/>
    <mergeCell ref="A20:F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4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533</v>
      </c>
      <c r="E2" t="s">
        <v>81</v>
      </c>
      <c r="G2" t="s">
        <v>534</v>
      </c>
      <c r="I2" t="s">
        <v>535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453</v>
      </c>
      <c r="C6" s="5"/>
      <c r="D6" s="5" t="s">
        <v>99</v>
      </c>
      <c r="E6" s="5">
        <v>1</v>
      </c>
      <c r="F6" s="6">
        <v>31.47</v>
      </c>
      <c r="G6" s="6">
        <v>31.47</v>
      </c>
      <c r="H6" s="5"/>
      <c r="I6" s="5"/>
      <c r="J6" s="5" t="s">
        <v>454</v>
      </c>
    </row>
    <row r="7" spans="1:10" x14ac:dyDescent="0.35">
      <c r="A7" s="5">
        <v>2</v>
      </c>
      <c r="B7" s="5" t="s">
        <v>190</v>
      </c>
      <c r="C7" s="5"/>
      <c r="D7" s="5" t="s">
        <v>99</v>
      </c>
      <c r="E7" s="5">
        <v>1</v>
      </c>
      <c r="F7" s="6">
        <v>7.3</v>
      </c>
      <c r="G7" s="6">
        <v>7.3</v>
      </c>
      <c r="H7" s="5"/>
      <c r="I7" s="5"/>
      <c r="J7" s="5" t="s">
        <v>513</v>
      </c>
    </row>
    <row r="8" spans="1:10" x14ac:dyDescent="0.35">
      <c r="A8" s="5">
        <v>3</v>
      </c>
      <c r="B8" s="5" t="s">
        <v>536</v>
      </c>
      <c r="C8" s="5"/>
      <c r="D8" s="5" t="s">
        <v>99</v>
      </c>
      <c r="E8" s="5">
        <v>1</v>
      </c>
      <c r="F8" s="6">
        <v>31.03</v>
      </c>
      <c r="G8" s="6">
        <v>31.03</v>
      </c>
      <c r="H8" s="5"/>
      <c r="I8" s="5"/>
      <c r="J8" s="5" t="s">
        <v>537</v>
      </c>
    </row>
    <row r="9" spans="1:10" x14ac:dyDescent="0.35">
      <c r="A9" s="5">
        <v>4</v>
      </c>
      <c r="B9" s="5" t="s">
        <v>330</v>
      </c>
      <c r="C9" s="5"/>
      <c r="D9" s="5" t="s">
        <v>99</v>
      </c>
      <c r="E9" s="5">
        <v>1</v>
      </c>
      <c r="F9" s="6">
        <v>19.03</v>
      </c>
      <c r="G9" s="6">
        <v>19.03</v>
      </c>
      <c r="H9" s="5"/>
      <c r="I9" s="5"/>
      <c r="J9" s="5" t="s">
        <v>538</v>
      </c>
    </row>
    <row r="10" spans="1:10" x14ac:dyDescent="0.35">
      <c r="A10" s="5">
        <v>5</v>
      </c>
      <c r="B10" s="5" t="s">
        <v>514</v>
      </c>
      <c r="C10" s="5"/>
      <c r="D10" s="5" t="s">
        <v>99</v>
      </c>
      <c r="E10" s="5">
        <v>2</v>
      </c>
      <c r="F10" s="6">
        <v>165</v>
      </c>
      <c r="G10" s="6">
        <v>330</v>
      </c>
      <c r="H10" s="5"/>
      <c r="I10" s="5"/>
      <c r="J10" s="5" t="s">
        <v>515</v>
      </c>
    </row>
    <row r="11" spans="1:10" x14ac:dyDescent="0.35">
      <c r="A11" s="5">
        <v>6</v>
      </c>
      <c r="B11" s="5" t="s">
        <v>482</v>
      </c>
      <c r="C11" s="5"/>
      <c r="D11" s="5" t="s">
        <v>99</v>
      </c>
      <c r="E11" s="5">
        <v>4</v>
      </c>
      <c r="F11" s="6">
        <v>14</v>
      </c>
      <c r="G11" s="6">
        <v>56</v>
      </c>
      <c r="H11" s="5"/>
      <c r="I11" s="5"/>
      <c r="J11" s="5" t="s">
        <v>483</v>
      </c>
    </row>
    <row r="12" spans="1:10" x14ac:dyDescent="0.35">
      <c r="A12" s="5">
        <v>7</v>
      </c>
      <c r="B12" s="5" t="s">
        <v>455</v>
      </c>
      <c r="C12" s="5"/>
      <c r="D12" s="5" t="s">
        <v>99</v>
      </c>
      <c r="E12" s="5">
        <v>8</v>
      </c>
      <c r="F12" s="6">
        <v>91</v>
      </c>
      <c r="G12" s="6">
        <v>728</v>
      </c>
      <c r="H12" s="5"/>
      <c r="I12" s="5"/>
      <c r="J12" s="5" t="s">
        <v>456</v>
      </c>
    </row>
    <row r="13" spans="1:10" x14ac:dyDescent="0.35">
      <c r="A13" s="5">
        <v>8</v>
      </c>
      <c r="B13" s="5" t="s">
        <v>539</v>
      </c>
      <c r="C13" s="5"/>
      <c r="D13" s="5" t="s">
        <v>99</v>
      </c>
      <c r="E13" s="5">
        <v>2</v>
      </c>
      <c r="F13" s="5" t="s">
        <v>446</v>
      </c>
      <c r="G13" s="6">
        <v>0</v>
      </c>
      <c r="H13" s="5"/>
      <c r="I13" s="5"/>
      <c r="J13" s="5" t="s">
        <v>540</v>
      </c>
    </row>
    <row r="14" spans="1:10" x14ac:dyDescent="0.35">
      <c r="A14" s="5">
        <v>9</v>
      </c>
      <c r="B14" s="5" t="s">
        <v>140</v>
      </c>
      <c r="C14" s="5"/>
      <c r="D14" s="5" t="s">
        <v>99</v>
      </c>
      <c r="E14" s="5">
        <v>1</v>
      </c>
      <c r="F14" s="6">
        <v>236.25</v>
      </c>
      <c r="G14" s="6">
        <v>236.25</v>
      </c>
      <c r="H14" s="5"/>
      <c r="I14" s="5"/>
      <c r="J14" s="5" t="s">
        <v>431</v>
      </c>
    </row>
    <row r="15" spans="1:10" x14ac:dyDescent="0.35">
      <c r="A15" s="5">
        <v>10</v>
      </c>
      <c r="B15" s="5" t="s">
        <v>459</v>
      </c>
      <c r="C15" s="5"/>
      <c r="D15" s="5" t="s">
        <v>99</v>
      </c>
      <c r="E15" s="5">
        <v>1</v>
      </c>
      <c r="F15" s="6">
        <v>236.25</v>
      </c>
      <c r="G15" s="6">
        <v>236.25</v>
      </c>
      <c r="H15" s="5"/>
      <c r="I15" s="5"/>
      <c r="J15" s="5" t="s">
        <v>460</v>
      </c>
    </row>
    <row r="16" spans="1:10" x14ac:dyDescent="0.35">
      <c r="A16" s="5">
        <v>11</v>
      </c>
      <c r="B16" s="5" t="s">
        <v>432</v>
      </c>
      <c r="C16" s="5"/>
      <c r="D16" s="5" t="s">
        <v>99</v>
      </c>
      <c r="E16" s="5">
        <v>3</v>
      </c>
      <c r="F16" s="6">
        <v>200</v>
      </c>
      <c r="G16" s="6">
        <v>600</v>
      </c>
      <c r="H16" s="5"/>
      <c r="I16" s="5"/>
      <c r="J16" s="5" t="s">
        <v>433</v>
      </c>
    </row>
    <row r="17" spans="1:10" x14ac:dyDescent="0.35">
      <c r="A17" s="5">
        <v>12</v>
      </c>
      <c r="B17" s="5" t="s">
        <v>478</v>
      </c>
      <c r="C17" s="5"/>
      <c r="D17" s="5" t="s">
        <v>99</v>
      </c>
      <c r="E17" s="5">
        <v>1</v>
      </c>
      <c r="F17" s="6">
        <v>250</v>
      </c>
      <c r="G17" s="6">
        <v>250</v>
      </c>
      <c r="H17" s="5"/>
      <c r="I17" s="5"/>
      <c r="J17" s="5" t="s">
        <v>479</v>
      </c>
    </row>
    <row r="18" spans="1:10" x14ac:dyDescent="0.35">
      <c r="A18" s="5">
        <v>13</v>
      </c>
      <c r="B18" s="5" t="s">
        <v>516</v>
      </c>
      <c r="C18" s="5"/>
      <c r="D18" s="5" t="s">
        <v>99</v>
      </c>
      <c r="E18" s="5">
        <v>1</v>
      </c>
      <c r="F18" s="6">
        <v>750</v>
      </c>
      <c r="G18" s="6">
        <v>750</v>
      </c>
      <c r="H18" s="5"/>
      <c r="I18" s="5"/>
      <c r="J18" s="5" t="s">
        <v>517</v>
      </c>
    </row>
    <row r="19" spans="1:10" x14ac:dyDescent="0.35">
      <c r="A19" s="19" t="s">
        <v>95</v>
      </c>
      <c r="B19" s="16"/>
      <c r="C19" s="16"/>
      <c r="D19" s="16"/>
      <c r="E19" s="16"/>
      <c r="F19" s="16"/>
      <c r="G19" s="12">
        <v>3275.33</v>
      </c>
      <c r="H19" s="13"/>
      <c r="I19" s="12"/>
      <c r="J19" s="13"/>
    </row>
    <row r="21" spans="1:10" x14ac:dyDescent="0.35">
      <c r="A21" s="20" t="s">
        <v>96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35">
      <c r="A22" s="11" t="s">
        <v>2</v>
      </c>
      <c r="B22" s="11" t="s">
        <v>85</v>
      </c>
      <c r="C22" s="11" t="s">
        <v>86</v>
      </c>
      <c r="D22" s="11" t="s">
        <v>87</v>
      </c>
      <c r="E22" s="11" t="s">
        <v>88</v>
      </c>
      <c r="F22" s="11" t="s">
        <v>89</v>
      </c>
      <c r="G22" s="11" t="s">
        <v>90</v>
      </c>
      <c r="H22" s="11" t="s">
        <v>91</v>
      </c>
      <c r="I22" s="11" t="s">
        <v>92</v>
      </c>
      <c r="J22" s="11" t="s">
        <v>93</v>
      </c>
    </row>
    <row r="23" spans="1:10" x14ac:dyDescent="0.35">
      <c r="A23" s="5">
        <v>1</v>
      </c>
      <c r="B23" s="5" t="s">
        <v>164</v>
      </c>
      <c r="C23" s="5"/>
      <c r="D23" s="5" t="s">
        <v>99</v>
      </c>
      <c r="E23" s="5">
        <v>5</v>
      </c>
      <c r="F23" s="6">
        <v>39.049999999999997</v>
      </c>
      <c r="G23" s="6">
        <v>195.25</v>
      </c>
      <c r="H23" s="5"/>
      <c r="I23" s="5"/>
      <c r="J23" s="5" t="s">
        <v>461</v>
      </c>
    </row>
    <row r="24" spans="1:10" x14ac:dyDescent="0.35">
      <c r="A24" s="5">
        <v>2</v>
      </c>
      <c r="B24" s="5" t="s">
        <v>462</v>
      </c>
      <c r="C24" s="5"/>
      <c r="D24" s="5" t="s">
        <v>99</v>
      </c>
      <c r="E24" s="5">
        <v>5</v>
      </c>
      <c r="F24" s="6">
        <v>21</v>
      </c>
      <c r="G24" s="6">
        <v>105</v>
      </c>
      <c r="H24" s="5"/>
      <c r="I24" s="5"/>
      <c r="J24" s="5" t="s">
        <v>463</v>
      </c>
    </row>
    <row r="25" spans="1:10" x14ac:dyDescent="0.35">
      <c r="A25" s="5">
        <v>3</v>
      </c>
      <c r="B25" s="5" t="s">
        <v>203</v>
      </c>
      <c r="C25" s="5"/>
      <c r="D25" s="5" t="s">
        <v>99</v>
      </c>
      <c r="E25" s="5">
        <v>2</v>
      </c>
      <c r="F25" s="6">
        <v>62.22</v>
      </c>
      <c r="G25" s="6">
        <v>124.44</v>
      </c>
      <c r="H25" s="5"/>
      <c r="I25" s="5"/>
      <c r="J25" s="5" t="s">
        <v>519</v>
      </c>
    </row>
    <row r="26" spans="1:10" x14ac:dyDescent="0.35">
      <c r="A26" s="5">
        <v>4</v>
      </c>
      <c r="B26" s="5" t="s">
        <v>205</v>
      </c>
      <c r="C26" s="5"/>
      <c r="D26" s="5" t="s">
        <v>99</v>
      </c>
      <c r="E26" s="5">
        <v>1</v>
      </c>
      <c r="F26" s="6">
        <v>63.3</v>
      </c>
      <c r="G26" s="6">
        <v>63.3</v>
      </c>
      <c r="H26" s="5"/>
      <c r="I26" s="5"/>
      <c r="J26" s="5" t="s">
        <v>464</v>
      </c>
    </row>
    <row r="27" spans="1:10" x14ac:dyDescent="0.35">
      <c r="A27" s="5">
        <v>5</v>
      </c>
      <c r="B27" s="5" t="s">
        <v>300</v>
      </c>
      <c r="C27" s="5"/>
      <c r="D27" s="5" t="s">
        <v>99</v>
      </c>
      <c r="E27" s="5">
        <v>2</v>
      </c>
      <c r="F27" s="6">
        <v>6.04</v>
      </c>
      <c r="G27" s="6">
        <v>12.08</v>
      </c>
      <c r="H27" s="5"/>
      <c r="I27" s="5"/>
      <c r="J27" s="5" t="s">
        <v>465</v>
      </c>
    </row>
    <row r="28" spans="1:10" x14ac:dyDescent="0.35">
      <c r="A28" s="5">
        <v>6</v>
      </c>
      <c r="B28" s="5" t="s">
        <v>541</v>
      </c>
      <c r="C28" s="5"/>
      <c r="D28" s="5" t="s">
        <v>99</v>
      </c>
      <c r="E28" s="5">
        <v>3</v>
      </c>
      <c r="F28" s="6">
        <v>591.29999999999995</v>
      </c>
      <c r="G28" s="6">
        <v>1773.9</v>
      </c>
      <c r="H28" s="5"/>
      <c r="I28" s="5"/>
      <c r="J28" s="5" t="s">
        <v>500</v>
      </c>
    </row>
    <row r="29" spans="1:10" x14ac:dyDescent="0.35">
      <c r="A29" s="5">
        <v>7</v>
      </c>
      <c r="B29" s="5" t="s">
        <v>247</v>
      </c>
      <c r="C29" s="5"/>
      <c r="D29" s="5" t="s">
        <v>99</v>
      </c>
      <c r="E29" s="5">
        <v>1</v>
      </c>
      <c r="F29" s="6">
        <v>192.5</v>
      </c>
      <c r="G29" s="6">
        <v>192.5</v>
      </c>
      <c r="H29" s="5"/>
      <c r="I29" s="5"/>
      <c r="J29" s="5" t="s">
        <v>542</v>
      </c>
    </row>
    <row r="30" spans="1:10" x14ac:dyDescent="0.35">
      <c r="A30" s="5">
        <v>8</v>
      </c>
      <c r="B30" s="5" t="s">
        <v>142</v>
      </c>
      <c r="C30" s="5"/>
      <c r="D30" s="5" t="s">
        <v>99</v>
      </c>
      <c r="E30" s="5">
        <v>1</v>
      </c>
      <c r="F30" s="6">
        <v>361</v>
      </c>
      <c r="G30" s="6">
        <v>361</v>
      </c>
      <c r="H30" s="5"/>
      <c r="I30" s="5"/>
      <c r="J30" s="5" t="s">
        <v>494</v>
      </c>
    </row>
    <row r="31" spans="1:10" x14ac:dyDescent="0.35">
      <c r="A31" s="5">
        <v>9</v>
      </c>
      <c r="B31" s="5" t="s">
        <v>137</v>
      </c>
      <c r="C31" s="5"/>
      <c r="D31" s="5" t="s">
        <v>99</v>
      </c>
      <c r="E31" s="5">
        <v>1</v>
      </c>
      <c r="F31" s="6">
        <v>201</v>
      </c>
      <c r="G31" s="6">
        <v>201</v>
      </c>
      <c r="H31" s="5"/>
      <c r="I31" s="5"/>
      <c r="J31" s="5" t="s">
        <v>466</v>
      </c>
    </row>
    <row r="32" spans="1:10" x14ac:dyDescent="0.35">
      <c r="A32" s="5">
        <v>10</v>
      </c>
      <c r="B32" s="5" t="s">
        <v>163</v>
      </c>
      <c r="C32" s="5"/>
      <c r="D32" s="5" t="s">
        <v>99</v>
      </c>
      <c r="E32" s="5">
        <v>1</v>
      </c>
      <c r="F32" s="6">
        <v>202.55</v>
      </c>
      <c r="G32" s="6">
        <v>202.55</v>
      </c>
      <c r="H32" s="5"/>
      <c r="I32" s="5"/>
      <c r="J32" s="5" t="s">
        <v>437</v>
      </c>
    </row>
    <row r="33" spans="1:10" x14ac:dyDescent="0.35">
      <c r="A33" s="5">
        <v>11</v>
      </c>
      <c r="B33" s="5" t="s">
        <v>134</v>
      </c>
      <c r="C33" s="5"/>
      <c r="D33" s="5" t="s">
        <v>99</v>
      </c>
      <c r="E33" s="5">
        <v>1</v>
      </c>
      <c r="F33" s="6">
        <v>5</v>
      </c>
      <c r="G33" s="6">
        <v>5</v>
      </c>
      <c r="H33" s="5"/>
      <c r="I33" s="5"/>
      <c r="J33" s="5" t="s">
        <v>438</v>
      </c>
    </row>
    <row r="34" spans="1:10" x14ac:dyDescent="0.35">
      <c r="A34" s="5">
        <v>12</v>
      </c>
      <c r="B34" s="5" t="s">
        <v>298</v>
      </c>
      <c r="C34" s="5"/>
      <c r="D34" s="5" t="s">
        <v>99</v>
      </c>
      <c r="E34" s="5">
        <v>1</v>
      </c>
      <c r="F34" s="6">
        <v>20</v>
      </c>
      <c r="G34" s="6">
        <v>20</v>
      </c>
      <c r="H34" s="5"/>
      <c r="I34" s="5"/>
      <c r="J34" s="5" t="s">
        <v>441</v>
      </c>
    </row>
    <row r="35" spans="1:10" x14ac:dyDescent="0.35">
      <c r="A35" s="5">
        <v>13</v>
      </c>
      <c r="B35" s="5" t="s">
        <v>296</v>
      </c>
      <c r="C35" s="5"/>
      <c r="D35" s="5" t="s">
        <v>99</v>
      </c>
      <c r="E35" s="5">
        <v>1</v>
      </c>
      <c r="F35" s="6">
        <v>10.23</v>
      </c>
      <c r="G35" s="6">
        <v>10.23</v>
      </c>
      <c r="H35" s="5"/>
      <c r="I35" s="5"/>
      <c r="J35" s="5" t="s">
        <v>442</v>
      </c>
    </row>
    <row r="36" spans="1:10" x14ac:dyDescent="0.35">
      <c r="A36" s="5">
        <v>14</v>
      </c>
      <c r="B36" s="5" t="s">
        <v>233</v>
      </c>
      <c r="C36" s="5"/>
      <c r="D36" s="5" t="s">
        <v>99</v>
      </c>
      <c r="E36" s="5">
        <v>5</v>
      </c>
      <c r="F36" s="6">
        <v>66.64</v>
      </c>
      <c r="G36" s="6">
        <v>333.2</v>
      </c>
      <c r="H36" s="5"/>
      <c r="I36" s="5"/>
      <c r="J36" s="5" t="s">
        <v>435</v>
      </c>
    </row>
    <row r="37" spans="1:10" x14ac:dyDescent="0.35">
      <c r="A37" s="5">
        <v>15</v>
      </c>
      <c r="B37" s="5" t="s">
        <v>116</v>
      </c>
      <c r="C37" s="5"/>
      <c r="D37" s="5" t="s">
        <v>99</v>
      </c>
      <c r="E37" s="5">
        <v>5</v>
      </c>
      <c r="F37" s="6">
        <v>12.56</v>
      </c>
      <c r="G37" s="6">
        <v>62.8</v>
      </c>
      <c r="H37" s="5"/>
      <c r="I37" s="5"/>
      <c r="J37" s="5" t="s">
        <v>503</v>
      </c>
    </row>
    <row r="38" spans="1:10" x14ac:dyDescent="0.35">
      <c r="A38" s="5">
        <v>16</v>
      </c>
      <c r="B38" s="5" t="s">
        <v>496</v>
      </c>
      <c r="C38" s="5"/>
      <c r="D38" s="5" t="s">
        <v>99</v>
      </c>
      <c r="E38" s="5">
        <v>2</v>
      </c>
      <c r="F38" s="6">
        <v>53.9</v>
      </c>
      <c r="G38" s="6">
        <v>107.8</v>
      </c>
      <c r="H38" s="5"/>
      <c r="I38" s="5"/>
      <c r="J38" s="5" t="s">
        <v>470</v>
      </c>
    </row>
    <row r="39" spans="1:10" x14ac:dyDescent="0.35">
      <c r="A39" s="5">
        <v>17</v>
      </c>
      <c r="B39" s="5" t="s">
        <v>235</v>
      </c>
      <c r="C39" s="5"/>
      <c r="D39" s="5" t="s">
        <v>99</v>
      </c>
      <c r="E39" s="5">
        <v>5</v>
      </c>
      <c r="F39" s="6">
        <v>12.72</v>
      </c>
      <c r="G39" s="6">
        <v>63.6</v>
      </c>
      <c r="H39" s="5"/>
      <c r="I39" s="5"/>
      <c r="J39" s="5" t="s">
        <v>444</v>
      </c>
    </row>
    <row r="40" spans="1:10" x14ac:dyDescent="0.35">
      <c r="A40" s="5">
        <v>18</v>
      </c>
      <c r="B40" s="5" t="s">
        <v>486</v>
      </c>
      <c r="C40" s="5"/>
      <c r="D40" s="5" t="s">
        <v>99</v>
      </c>
      <c r="E40" s="5">
        <v>1</v>
      </c>
      <c r="F40" s="6">
        <v>3.24</v>
      </c>
      <c r="G40" s="6">
        <v>3.24</v>
      </c>
      <c r="H40" s="5"/>
      <c r="I40" s="5"/>
      <c r="J40" s="5" t="s">
        <v>440</v>
      </c>
    </row>
    <row r="41" spans="1:10" x14ac:dyDescent="0.35">
      <c r="A41" s="19" t="s">
        <v>143</v>
      </c>
      <c r="B41" s="16"/>
      <c r="C41" s="16"/>
      <c r="D41" s="16"/>
      <c r="E41" s="16"/>
      <c r="F41" s="16"/>
      <c r="G41" s="12">
        <v>3836.89</v>
      </c>
      <c r="H41" s="13"/>
      <c r="I41" s="12"/>
      <c r="J41" s="13"/>
    </row>
    <row r="43" spans="1:10" x14ac:dyDescent="0.35">
      <c r="A43" s="20" t="s">
        <v>144</v>
      </c>
      <c r="B43" s="16"/>
      <c r="C43" s="16"/>
      <c r="D43" s="16"/>
      <c r="E43" s="16"/>
      <c r="F43" s="16"/>
      <c r="G43" s="16"/>
      <c r="H43" s="16"/>
      <c r="I43" s="16"/>
      <c r="J43" s="16"/>
    </row>
    <row r="44" spans="1:10" x14ac:dyDescent="0.35">
      <c r="A44" s="5">
        <v>1</v>
      </c>
      <c r="B44" s="5" t="s">
        <v>145</v>
      </c>
      <c r="C44" s="5" t="s">
        <v>146</v>
      </c>
      <c r="D44" s="5" t="s">
        <v>147</v>
      </c>
      <c r="E44" s="5">
        <v>1</v>
      </c>
      <c r="F44" s="6">
        <v>1000</v>
      </c>
      <c r="G44" s="6">
        <v>1000</v>
      </c>
      <c r="H44" s="5" t="s">
        <v>148</v>
      </c>
      <c r="I44" s="5" t="s">
        <v>148</v>
      </c>
      <c r="J44" s="5" t="s">
        <v>149</v>
      </c>
    </row>
    <row r="45" spans="1:10" x14ac:dyDescent="0.35">
      <c r="A45" s="19" t="s">
        <v>150</v>
      </c>
      <c r="B45" s="16"/>
      <c r="C45" s="16"/>
      <c r="D45" s="16"/>
      <c r="E45" s="16"/>
      <c r="F45" s="16"/>
      <c r="G45" s="12">
        <v>1000</v>
      </c>
      <c r="H45" s="13"/>
      <c r="I45" s="13"/>
      <c r="J45" s="13"/>
    </row>
    <row r="47" spans="1:10" x14ac:dyDescent="0.35">
      <c r="A47" s="20" t="s">
        <v>151</v>
      </c>
      <c r="B47" s="16"/>
      <c r="C47" s="16"/>
      <c r="D47" s="16"/>
      <c r="E47" s="16"/>
      <c r="F47" s="16"/>
      <c r="G47" s="16"/>
      <c r="H47" s="16"/>
      <c r="I47" s="16"/>
      <c r="J47" s="16"/>
    </row>
    <row r="48" spans="1:10" x14ac:dyDescent="0.35">
      <c r="A48" s="5">
        <v>1</v>
      </c>
      <c r="B48" s="5" t="s">
        <v>152</v>
      </c>
      <c r="C48" s="5" t="s">
        <v>448</v>
      </c>
      <c r="D48" s="5" t="s">
        <v>148</v>
      </c>
      <c r="E48" s="5">
        <v>1</v>
      </c>
      <c r="F48" s="6">
        <v>1000</v>
      </c>
      <c r="G48" s="6">
        <v>1000</v>
      </c>
      <c r="H48" s="5" t="s">
        <v>148</v>
      </c>
      <c r="I48" s="5" t="s">
        <v>148</v>
      </c>
      <c r="J48" s="5" t="s">
        <v>149</v>
      </c>
    </row>
    <row r="49" spans="1:10" x14ac:dyDescent="0.35">
      <c r="A49" s="19" t="s">
        <v>154</v>
      </c>
      <c r="B49" s="16"/>
      <c r="C49" s="16"/>
      <c r="D49" s="16"/>
      <c r="E49" s="16"/>
      <c r="F49" s="16"/>
      <c r="G49" s="12">
        <v>1000</v>
      </c>
      <c r="H49" s="13"/>
      <c r="I49" s="13"/>
      <c r="J49" s="13"/>
    </row>
    <row r="51" spans="1:10" x14ac:dyDescent="0.35">
      <c r="A51" s="15" t="s">
        <v>155</v>
      </c>
      <c r="B51" s="16"/>
      <c r="C51" s="16"/>
      <c r="D51" s="16"/>
      <c r="E51" s="16"/>
      <c r="F51" s="16"/>
      <c r="G51" s="9">
        <v>9112.2199999999993</v>
      </c>
      <c r="H51" s="8"/>
      <c r="I51" s="8"/>
      <c r="J51" s="8"/>
    </row>
    <row r="53" spans="1:10" x14ac:dyDescent="0.35">
      <c r="A53" s="1" t="s">
        <v>212</v>
      </c>
    </row>
    <row r="54" spans="1:10" x14ac:dyDescent="0.35">
      <c r="A54" s="14" t="s">
        <v>543</v>
      </c>
    </row>
  </sheetData>
  <mergeCells count="10">
    <mergeCell ref="A41:F41"/>
    <mergeCell ref="A47:J47"/>
    <mergeCell ref="A1:J1"/>
    <mergeCell ref="A49:F49"/>
    <mergeCell ref="A51:F51"/>
    <mergeCell ref="A19:F19"/>
    <mergeCell ref="A45:F45"/>
    <mergeCell ref="A21:J21"/>
    <mergeCell ref="A4:J4"/>
    <mergeCell ref="A43:J4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44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544</v>
      </c>
      <c r="E2" t="s">
        <v>81</v>
      </c>
      <c r="G2" t="s">
        <v>545</v>
      </c>
      <c r="I2" t="s">
        <v>546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453</v>
      </c>
      <c r="C6" s="5"/>
      <c r="D6" s="5" t="s">
        <v>99</v>
      </c>
      <c r="E6" s="5">
        <v>1</v>
      </c>
      <c r="F6" s="6">
        <v>31.47</v>
      </c>
      <c r="G6" s="6">
        <v>31.47</v>
      </c>
      <c r="H6" s="5"/>
      <c r="I6" s="5"/>
      <c r="J6" s="5" t="s">
        <v>454</v>
      </c>
    </row>
    <row r="7" spans="1:10" x14ac:dyDescent="0.35">
      <c r="A7" s="5">
        <v>2</v>
      </c>
      <c r="B7" s="5" t="s">
        <v>190</v>
      </c>
      <c r="C7" s="5"/>
      <c r="D7" s="5" t="s">
        <v>99</v>
      </c>
      <c r="E7" s="5">
        <v>1</v>
      </c>
      <c r="F7" s="6">
        <v>7.3</v>
      </c>
      <c r="G7" s="6">
        <v>7.3</v>
      </c>
      <c r="H7" s="5"/>
      <c r="I7" s="5"/>
      <c r="J7" s="5" t="s">
        <v>513</v>
      </c>
    </row>
    <row r="8" spans="1:10" x14ac:dyDescent="0.35">
      <c r="A8" s="5">
        <v>3</v>
      </c>
      <c r="B8" s="5" t="s">
        <v>536</v>
      </c>
      <c r="C8" s="5"/>
      <c r="D8" s="5" t="s">
        <v>99</v>
      </c>
      <c r="E8" s="5">
        <v>1</v>
      </c>
      <c r="F8" s="6">
        <v>31.03</v>
      </c>
      <c r="G8" s="6">
        <v>31.03</v>
      </c>
      <c r="H8" s="5"/>
      <c r="I8" s="5"/>
      <c r="J8" s="5" t="s">
        <v>537</v>
      </c>
    </row>
    <row r="9" spans="1:10" x14ac:dyDescent="0.35">
      <c r="A9" s="5">
        <v>4</v>
      </c>
      <c r="B9" s="5" t="s">
        <v>140</v>
      </c>
      <c r="C9" s="5"/>
      <c r="D9" s="5" t="s">
        <v>99</v>
      </c>
      <c r="E9" s="5">
        <v>1</v>
      </c>
      <c r="F9" s="6">
        <v>236.25</v>
      </c>
      <c r="G9" s="6">
        <v>236.25</v>
      </c>
      <c r="H9" s="5"/>
      <c r="I9" s="5"/>
      <c r="J9" s="5" t="s">
        <v>431</v>
      </c>
    </row>
    <row r="10" spans="1:10" x14ac:dyDescent="0.35">
      <c r="A10" s="5">
        <v>5</v>
      </c>
      <c r="B10" s="5" t="s">
        <v>514</v>
      </c>
      <c r="C10" s="5"/>
      <c r="D10" s="5" t="s">
        <v>99</v>
      </c>
      <c r="E10" s="5">
        <v>2</v>
      </c>
      <c r="F10" s="6">
        <v>165</v>
      </c>
      <c r="G10" s="6">
        <v>330</v>
      </c>
      <c r="H10" s="5"/>
      <c r="I10" s="5"/>
      <c r="J10" s="5" t="s">
        <v>515</v>
      </c>
    </row>
    <row r="11" spans="1:10" x14ac:dyDescent="0.35">
      <c r="A11" s="5">
        <v>6</v>
      </c>
      <c r="B11" s="5" t="s">
        <v>455</v>
      </c>
      <c r="C11" s="5"/>
      <c r="D11" s="5" t="s">
        <v>99</v>
      </c>
      <c r="E11" s="5">
        <v>3</v>
      </c>
      <c r="F11" s="6">
        <v>91</v>
      </c>
      <c r="G11" s="6">
        <v>273</v>
      </c>
      <c r="H11" s="5"/>
      <c r="I11" s="5"/>
      <c r="J11" s="5" t="s">
        <v>456</v>
      </c>
    </row>
    <row r="12" spans="1:10" x14ac:dyDescent="0.35">
      <c r="A12" s="5">
        <v>7</v>
      </c>
      <c r="B12" s="5" t="s">
        <v>457</v>
      </c>
      <c r="C12" s="5"/>
      <c r="D12" s="5" t="s">
        <v>99</v>
      </c>
      <c r="E12" s="5">
        <v>3</v>
      </c>
      <c r="F12" s="5" t="s">
        <v>446</v>
      </c>
      <c r="G12" s="6">
        <v>0</v>
      </c>
      <c r="H12" s="5"/>
      <c r="I12" s="5"/>
      <c r="J12" s="5" t="s">
        <v>458</v>
      </c>
    </row>
    <row r="13" spans="1:10" x14ac:dyDescent="0.35">
      <c r="A13" s="5">
        <v>8</v>
      </c>
      <c r="B13" s="5" t="s">
        <v>547</v>
      </c>
      <c r="C13" s="5"/>
      <c r="D13" s="5" t="s">
        <v>99</v>
      </c>
      <c r="E13" s="5">
        <v>1</v>
      </c>
      <c r="F13" s="5" t="s">
        <v>446</v>
      </c>
      <c r="G13" s="6">
        <v>0</v>
      </c>
      <c r="H13" s="5"/>
      <c r="I13" s="5"/>
      <c r="J13" s="5" t="s">
        <v>548</v>
      </c>
    </row>
    <row r="14" spans="1:10" x14ac:dyDescent="0.35">
      <c r="A14" s="19" t="s">
        <v>95</v>
      </c>
      <c r="B14" s="16"/>
      <c r="C14" s="16"/>
      <c r="D14" s="16"/>
      <c r="E14" s="16"/>
      <c r="F14" s="16"/>
      <c r="G14" s="12">
        <v>909.05</v>
      </c>
      <c r="H14" s="13"/>
      <c r="I14" s="12"/>
      <c r="J14" s="13"/>
    </row>
    <row r="16" spans="1:10" x14ac:dyDescent="0.35">
      <c r="A16" s="20" t="s">
        <v>96</v>
      </c>
      <c r="B16" s="16"/>
      <c r="C16" s="16"/>
      <c r="D16" s="16"/>
      <c r="E16" s="16"/>
      <c r="F16" s="16"/>
      <c r="G16" s="16"/>
      <c r="H16" s="16"/>
      <c r="I16" s="16"/>
      <c r="J16" s="16"/>
    </row>
    <row r="17" spans="1:10" x14ac:dyDescent="0.35">
      <c r="A17" s="11" t="s">
        <v>2</v>
      </c>
      <c r="B17" s="11" t="s">
        <v>85</v>
      </c>
      <c r="C17" s="11" t="s">
        <v>86</v>
      </c>
      <c r="D17" s="11" t="s">
        <v>87</v>
      </c>
      <c r="E17" s="11" t="s">
        <v>88</v>
      </c>
      <c r="F17" s="11" t="s">
        <v>89</v>
      </c>
      <c r="G17" s="11" t="s">
        <v>90</v>
      </c>
      <c r="H17" s="11" t="s">
        <v>91</v>
      </c>
      <c r="I17" s="11" t="s">
        <v>92</v>
      </c>
      <c r="J17" s="11" t="s">
        <v>93</v>
      </c>
    </row>
    <row r="18" spans="1:10" x14ac:dyDescent="0.35">
      <c r="A18" s="5">
        <v>1</v>
      </c>
      <c r="B18" s="5" t="s">
        <v>132</v>
      </c>
      <c r="C18" s="5"/>
      <c r="D18" s="5" t="s">
        <v>99</v>
      </c>
      <c r="E18" s="5">
        <v>1</v>
      </c>
      <c r="F18" s="6">
        <v>321</v>
      </c>
      <c r="G18" s="6">
        <v>321</v>
      </c>
      <c r="H18" s="5"/>
      <c r="I18" s="5"/>
      <c r="J18" s="5" t="s">
        <v>436</v>
      </c>
    </row>
    <row r="19" spans="1:10" x14ac:dyDescent="0.35">
      <c r="A19" s="5">
        <v>2</v>
      </c>
      <c r="B19" s="5" t="s">
        <v>134</v>
      </c>
      <c r="C19" s="5"/>
      <c r="D19" s="5" t="s">
        <v>99</v>
      </c>
      <c r="E19" s="5">
        <v>1</v>
      </c>
      <c r="F19" s="6">
        <v>5</v>
      </c>
      <c r="G19" s="6">
        <v>5</v>
      </c>
      <c r="H19" s="5"/>
      <c r="I19" s="5"/>
      <c r="J19" s="5" t="s">
        <v>438</v>
      </c>
    </row>
    <row r="20" spans="1:10" x14ac:dyDescent="0.35">
      <c r="A20" s="5">
        <v>3</v>
      </c>
      <c r="B20" s="5" t="s">
        <v>203</v>
      </c>
      <c r="C20" s="5"/>
      <c r="D20" s="5" t="s">
        <v>99</v>
      </c>
      <c r="E20" s="5">
        <v>4</v>
      </c>
      <c r="F20" s="6">
        <v>62.22</v>
      </c>
      <c r="G20" s="6">
        <v>248.88</v>
      </c>
      <c r="H20" s="5"/>
      <c r="I20" s="5"/>
      <c r="J20" s="5" t="s">
        <v>519</v>
      </c>
    </row>
    <row r="21" spans="1:10" x14ac:dyDescent="0.35">
      <c r="A21" s="5">
        <v>4</v>
      </c>
      <c r="B21" s="5" t="s">
        <v>164</v>
      </c>
      <c r="C21" s="5"/>
      <c r="D21" s="5" t="s">
        <v>99</v>
      </c>
      <c r="E21" s="5">
        <v>1</v>
      </c>
      <c r="F21" s="6">
        <v>39.049999999999997</v>
      </c>
      <c r="G21" s="6">
        <v>39.049999999999997</v>
      </c>
      <c r="H21" s="5"/>
      <c r="I21" s="5"/>
      <c r="J21" s="5" t="s">
        <v>461</v>
      </c>
    </row>
    <row r="22" spans="1:10" x14ac:dyDescent="0.35">
      <c r="A22" s="5">
        <v>5</v>
      </c>
      <c r="B22" s="5" t="s">
        <v>300</v>
      </c>
      <c r="C22" s="5"/>
      <c r="D22" s="5" t="s">
        <v>99</v>
      </c>
      <c r="E22" s="5">
        <v>2</v>
      </c>
      <c r="F22" s="6">
        <v>6.04</v>
      </c>
      <c r="G22" s="6">
        <v>12.08</v>
      </c>
      <c r="H22" s="5"/>
      <c r="I22" s="5"/>
      <c r="J22" s="5" t="s">
        <v>465</v>
      </c>
    </row>
    <row r="23" spans="1:10" x14ac:dyDescent="0.35">
      <c r="A23" s="5">
        <v>6</v>
      </c>
      <c r="B23" s="5" t="s">
        <v>467</v>
      </c>
      <c r="C23" s="5"/>
      <c r="D23" s="5" t="s">
        <v>99</v>
      </c>
      <c r="E23" s="5">
        <v>1</v>
      </c>
      <c r="F23" s="6">
        <v>192.5</v>
      </c>
      <c r="G23" s="6">
        <v>192.5</v>
      </c>
      <c r="H23" s="5"/>
      <c r="I23" s="5"/>
      <c r="J23" s="5" t="s">
        <v>468</v>
      </c>
    </row>
    <row r="24" spans="1:10" x14ac:dyDescent="0.35">
      <c r="A24" s="5">
        <v>7</v>
      </c>
      <c r="B24" s="5" t="s">
        <v>142</v>
      </c>
      <c r="C24" s="5"/>
      <c r="D24" s="5" t="s">
        <v>99</v>
      </c>
      <c r="E24" s="5">
        <v>1</v>
      </c>
      <c r="F24" s="6">
        <v>361</v>
      </c>
      <c r="G24" s="6">
        <v>361</v>
      </c>
      <c r="H24" s="5"/>
      <c r="I24" s="5"/>
      <c r="J24" s="5" t="s">
        <v>494</v>
      </c>
    </row>
    <row r="25" spans="1:10" x14ac:dyDescent="0.35">
      <c r="A25" s="5">
        <v>8</v>
      </c>
      <c r="B25" s="5" t="s">
        <v>234</v>
      </c>
      <c r="C25" s="5"/>
      <c r="D25" s="5" t="s">
        <v>99</v>
      </c>
      <c r="E25" s="5">
        <v>3</v>
      </c>
      <c r="F25" s="6">
        <v>7.48</v>
      </c>
      <c r="G25" s="6">
        <v>22.44</v>
      </c>
      <c r="H25" s="5"/>
      <c r="I25" s="5"/>
      <c r="J25" s="5" t="s">
        <v>521</v>
      </c>
    </row>
    <row r="26" spans="1:10" x14ac:dyDescent="0.35">
      <c r="A26" s="5">
        <v>9</v>
      </c>
      <c r="B26" s="5" t="s">
        <v>235</v>
      </c>
      <c r="C26" s="5"/>
      <c r="D26" s="5" t="s">
        <v>99</v>
      </c>
      <c r="E26" s="5">
        <v>1</v>
      </c>
      <c r="F26" s="6">
        <v>12.72</v>
      </c>
      <c r="G26" s="6">
        <v>12.72</v>
      </c>
      <c r="H26" s="5"/>
      <c r="I26" s="5"/>
      <c r="J26" s="5" t="s">
        <v>444</v>
      </c>
    </row>
    <row r="27" spans="1:10" x14ac:dyDescent="0.35">
      <c r="A27" s="5">
        <v>10</v>
      </c>
      <c r="B27" s="5" t="s">
        <v>116</v>
      </c>
      <c r="C27" s="5"/>
      <c r="D27" s="5" t="s">
        <v>99</v>
      </c>
      <c r="E27" s="5">
        <v>1</v>
      </c>
      <c r="F27" s="6">
        <v>12.56</v>
      </c>
      <c r="G27" s="6">
        <v>12.56</v>
      </c>
      <c r="H27" s="5"/>
      <c r="I27" s="5"/>
      <c r="J27" s="5" t="s">
        <v>503</v>
      </c>
    </row>
    <row r="28" spans="1:10" x14ac:dyDescent="0.35">
      <c r="A28" s="5">
        <v>11</v>
      </c>
      <c r="B28" s="5" t="s">
        <v>549</v>
      </c>
      <c r="C28" s="5"/>
      <c r="D28" s="5" t="s">
        <v>99</v>
      </c>
      <c r="E28" s="5">
        <v>1</v>
      </c>
      <c r="F28" s="6">
        <v>20</v>
      </c>
      <c r="G28" s="6">
        <v>20</v>
      </c>
      <c r="H28" s="5"/>
      <c r="I28" s="5"/>
      <c r="J28" s="5" t="s">
        <v>550</v>
      </c>
    </row>
    <row r="29" spans="1:10" x14ac:dyDescent="0.35">
      <c r="A29" s="5">
        <v>12</v>
      </c>
      <c r="B29" s="5" t="s">
        <v>462</v>
      </c>
      <c r="C29" s="5"/>
      <c r="D29" s="5" t="s">
        <v>99</v>
      </c>
      <c r="E29" s="5">
        <v>1</v>
      </c>
      <c r="F29" s="6">
        <v>21</v>
      </c>
      <c r="G29" s="6">
        <v>21</v>
      </c>
      <c r="H29" s="5"/>
      <c r="I29" s="5"/>
      <c r="J29" s="5" t="s">
        <v>463</v>
      </c>
    </row>
    <row r="30" spans="1:10" x14ac:dyDescent="0.35">
      <c r="A30" s="5">
        <v>13</v>
      </c>
      <c r="B30" s="5" t="s">
        <v>137</v>
      </c>
      <c r="C30" s="5"/>
      <c r="D30" s="5" t="s">
        <v>99</v>
      </c>
      <c r="E30" s="5">
        <v>1</v>
      </c>
      <c r="F30" s="6">
        <v>201</v>
      </c>
      <c r="G30" s="6">
        <v>201</v>
      </c>
      <c r="H30" s="5"/>
      <c r="I30" s="5"/>
      <c r="J30" s="5" t="s">
        <v>466</v>
      </c>
    </row>
    <row r="31" spans="1:10" x14ac:dyDescent="0.35">
      <c r="A31" s="19" t="s">
        <v>143</v>
      </c>
      <c r="B31" s="16"/>
      <c r="C31" s="16"/>
      <c r="D31" s="16"/>
      <c r="E31" s="16"/>
      <c r="F31" s="16"/>
      <c r="G31" s="12">
        <v>1469.23</v>
      </c>
      <c r="H31" s="13"/>
      <c r="I31" s="12"/>
      <c r="J31" s="13"/>
    </row>
    <row r="33" spans="1:10" x14ac:dyDescent="0.35">
      <c r="A33" s="20" t="s">
        <v>144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35">
      <c r="A34" s="5">
        <v>1</v>
      </c>
      <c r="B34" s="5" t="s">
        <v>145</v>
      </c>
      <c r="C34" s="5" t="s">
        <v>532</v>
      </c>
      <c r="D34" s="5" t="s">
        <v>147</v>
      </c>
      <c r="E34" s="5">
        <v>2</v>
      </c>
      <c r="F34" s="6">
        <v>1000</v>
      </c>
      <c r="G34" s="6">
        <v>2000</v>
      </c>
      <c r="H34" s="5" t="s">
        <v>148</v>
      </c>
      <c r="I34" s="5" t="s">
        <v>148</v>
      </c>
      <c r="J34" s="5" t="s">
        <v>149</v>
      </c>
    </row>
    <row r="35" spans="1:10" x14ac:dyDescent="0.35">
      <c r="A35" s="19" t="s">
        <v>150</v>
      </c>
      <c r="B35" s="16"/>
      <c r="C35" s="16"/>
      <c r="D35" s="16"/>
      <c r="E35" s="16"/>
      <c r="F35" s="16"/>
      <c r="G35" s="12">
        <v>2000</v>
      </c>
      <c r="H35" s="13"/>
      <c r="I35" s="13"/>
      <c r="J35" s="13"/>
    </row>
    <row r="37" spans="1:10" x14ac:dyDescent="0.35">
      <c r="A37" s="20" t="s">
        <v>151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5">
      <c r="A38" s="5">
        <v>1</v>
      </c>
      <c r="B38" s="5" t="s">
        <v>152</v>
      </c>
      <c r="C38" s="5" t="s">
        <v>522</v>
      </c>
      <c r="D38" s="5" t="s">
        <v>148</v>
      </c>
      <c r="E38" s="5">
        <v>2</v>
      </c>
      <c r="F38" s="6">
        <v>1000</v>
      </c>
      <c r="G38" s="6">
        <v>2000</v>
      </c>
      <c r="H38" s="5" t="s">
        <v>148</v>
      </c>
      <c r="I38" s="5" t="s">
        <v>148</v>
      </c>
      <c r="J38" s="5" t="s">
        <v>149</v>
      </c>
    </row>
    <row r="39" spans="1:10" x14ac:dyDescent="0.35">
      <c r="A39" s="19" t="s">
        <v>154</v>
      </c>
      <c r="B39" s="16"/>
      <c r="C39" s="16"/>
      <c r="D39" s="16"/>
      <c r="E39" s="16"/>
      <c r="F39" s="16"/>
      <c r="G39" s="12">
        <v>2000</v>
      </c>
      <c r="H39" s="13"/>
      <c r="I39" s="13"/>
      <c r="J39" s="13"/>
    </row>
    <row r="41" spans="1:10" x14ac:dyDescent="0.35">
      <c r="A41" s="15" t="s">
        <v>155</v>
      </c>
      <c r="B41" s="16"/>
      <c r="C41" s="16"/>
      <c r="D41" s="16"/>
      <c r="E41" s="16"/>
      <c r="F41" s="16"/>
      <c r="G41" s="9">
        <v>6378.28</v>
      </c>
      <c r="H41" s="8"/>
      <c r="I41" s="8"/>
      <c r="J41" s="8"/>
    </row>
    <row r="43" spans="1:10" x14ac:dyDescent="0.35">
      <c r="A43" s="1" t="s">
        <v>212</v>
      </c>
    </row>
    <row r="44" spans="1:10" x14ac:dyDescent="0.35">
      <c r="A44" s="14" t="s">
        <v>551</v>
      </c>
    </row>
  </sheetData>
  <mergeCells count="10">
    <mergeCell ref="A41:F41"/>
    <mergeCell ref="A1:J1"/>
    <mergeCell ref="A37:J37"/>
    <mergeCell ref="A14:F14"/>
    <mergeCell ref="A31:F31"/>
    <mergeCell ref="A4:J4"/>
    <mergeCell ref="A35:F35"/>
    <mergeCell ref="A16:J16"/>
    <mergeCell ref="A39:F39"/>
    <mergeCell ref="A33:J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6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552</v>
      </c>
      <c r="E2" t="s">
        <v>270</v>
      </c>
      <c r="G2" t="s">
        <v>553</v>
      </c>
      <c r="I2" t="s">
        <v>554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140</v>
      </c>
      <c r="C6" s="5"/>
      <c r="D6" s="5" t="s">
        <v>99</v>
      </c>
      <c r="E6" s="5">
        <v>1</v>
      </c>
      <c r="F6" s="6">
        <v>236.25</v>
      </c>
      <c r="G6" s="6">
        <v>236.25</v>
      </c>
      <c r="H6" s="5"/>
      <c r="I6" s="5"/>
      <c r="J6" s="5" t="s">
        <v>431</v>
      </c>
    </row>
    <row r="7" spans="1:10" x14ac:dyDescent="0.35">
      <c r="A7" s="5">
        <v>2</v>
      </c>
      <c r="B7" s="5" t="s">
        <v>514</v>
      </c>
      <c r="C7" s="5"/>
      <c r="D7" s="5" t="s">
        <v>99</v>
      </c>
      <c r="E7" s="5">
        <v>1</v>
      </c>
      <c r="F7" s="6">
        <v>165</v>
      </c>
      <c r="G7" s="6">
        <v>165</v>
      </c>
      <c r="H7" s="5"/>
      <c r="I7" s="5"/>
      <c r="J7" s="5" t="s">
        <v>515</v>
      </c>
    </row>
    <row r="8" spans="1:10" x14ac:dyDescent="0.35">
      <c r="A8" s="5">
        <v>3</v>
      </c>
      <c r="B8" s="5" t="s">
        <v>555</v>
      </c>
      <c r="C8" s="5"/>
      <c r="D8" s="5" t="s">
        <v>99</v>
      </c>
      <c r="E8" s="5">
        <v>1</v>
      </c>
      <c r="F8" s="6">
        <v>37.950000000000003</v>
      </c>
      <c r="G8" s="6">
        <v>37.950000000000003</v>
      </c>
      <c r="H8" s="5"/>
      <c r="I8" s="5"/>
      <c r="J8" s="5" t="s">
        <v>556</v>
      </c>
    </row>
    <row r="9" spans="1:10" x14ac:dyDescent="0.35">
      <c r="A9" s="5">
        <v>4</v>
      </c>
      <c r="B9" s="5" t="s">
        <v>455</v>
      </c>
      <c r="C9" s="5"/>
      <c r="D9" s="5" t="s">
        <v>99</v>
      </c>
      <c r="E9" s="5">
        <v>3</v>
      </c>
      <c r="F9" s="6">
        <v>91</v>
      </c>
      <c r="G9" s="6">
        <v>273</v>
      </c>
      <c r="H9" s="5"/>
      <c r="I9" s="5"/>
      <c r="J9" s="5" t="s">
        <v>456</v>
      </c>
    </row>
    <row r="10" spans="1:10" x14ac:dyDescent="0.35">
      <c r="A10" s="5">
        <v>5</v>
      </c>
      <c r="B10" s="5" t="s">
        <v>457</v>
      </c>
      <c r="C10" s="5"/>
      <c r="D10" s="5" t="s">
        <v>99</v>
      </c>
      <c r="E10" s="5">
        <v>2</v>
      </c>
      <c r="F10" s="5" t="s">
        <v>446</v>
      </c>
      <c r="G10" s="6">
        <v>0</v>
      </c>
      <c r="H10" s="5"/>
      <c r="I10" s="5"/>
      <c r="J10" s="5" t="s">
        <v>458</v>
      </c>
    </row>
    <row r="11" spans="1:10" x14ac:dyDescent="0.35">
      <c r="A11" s="19" t="s">
        <v>95</v>
      </c>
      <c r="B11" s="16"/>
      <c r="C11" s="16"/>
      <c r="D11" s="16"/>
      <c r="E11" s="16"/>
      <c r="F11" s="16"/>
      <c r="G11" s="12">
        <v>712.2</v>
      </c>
      <c r="H11" s="13"/>
      <c r="I11" s="12"/>
      <c r="J11" s="13"/>
    </row>
    <row r="13" spans="1:10" x14ac:dyDescent="0.35">
      <c r="A13" s="20" t="s">
        <v>96</v>
      </c>
      <c r="B13" s="16"/>
      <c r="C13" s="16"/>
      <c r="D13" s="16"/>
      <c r="E13" s="16"/>
      <c r="F13" s="16"/>
      <c r="G13" s="16"/>
      <c r="H13" s="16"/>
      <c r="I13" s="16"/>
      <c r="J13" s="16"/>
    </row>
    <row r="14" spans="1:10" x14ac:dyDescent="0.35">
      <c r="A14" s="11" t="s">
        <v>2</v>
      </c>
      <c r="B14" s="11" t="s">
        <v>85</v>
      </c>
      <c r="C14" s="11" t="s">
        <v>86</v>
      </c>
      <c r="D14" s="11" t="s">
        <v>87</v>
      </c>
      <c r="E14" s="11" t="s">
        <v>88</v>
      </c>
      <c r="F14" s="11" t="s">
        <v>89</v>
      </c>
      <c r="G14" s="11" t="s">
        <v>90</v>
      </c>
      <c r="H14" s="11" t="s">
        <v>91</v>
      </c>
      <c r="I14" s="11" t="s">
        <v>92</v>
      </c>
      <c r="J14" s="11" t="s">
        <v>93</v>
      </c>
    </row>
    <row r="15" spans="1:10" x14ac:dyDescent="0.35">
      <c r="A15" s="5">
        <v>1</v>
      </c>
      <c r="B15" s="5" t="s">
        <v>467</v>
      </c>
      <c r="C15" s="5"/>
      <c r="D15" s="5" t="s">
        <v>99</v>
      </c>
      <c r="E15" s="5">
        <v>2</v>
      </c>
      <c r="F15" s="6">
        <v>192.5</v>
      </c>
      <c r="G15" s="6">
        <v>385</v>
      </c>
      <c r="H15" s="5"/>
      <c r="I15" s="5"/>
      <c r="J15" s="5" t="s">
        <v>468</v>
      </c>
    </row>
    <row r="16" spans="1:10" x14ac:dyDescent="0.35">
      <c r="A16" s="5">
        <v>2</v>
      </c>
      <c r="B16" s="5" t="s">
        <v>164</v>
      </c>
      <c r="C16" s="5"/>
      <c r="D16" s="5" t="s">
        <v>99</v>
      </c>
      <c r="E16" s="5">
        <v>4</v>
      </c>
      <c r="F16" s="6">
        <v>39.049999999999997</v>
      </c>
      <c r="G16" s="6">
        <v>156.19999999999999</v>
      </c>
      <c r="H16" s="5"/>
      <c r="I16" s="5"/>
      <c r="J16" s="5" t="s">
        <v>461</v>
      </c>
    </row>
    <row r="17" spans="1:10" x14ac:dyDescent="0.35">
      <c r="A17" s="5">
        <v>3</v>
      </c>
      <c r="B17" s="5" t="s">
        <v>315</v>
      </c>
      <c r="C17" s="5"/>
      <c r="D17" s="5" t="s">
        <v>99</v>
      </c>
      <c r="E17" s="5">
        <v>3</v>
      </c>
      <c r="F17" s="6">
        <v>67.5</v>
      </c>
      <c r="G17" s="6">
        <v>202.5</v>
      </c>
      <c r="H17" s="5"/>
      <c r="I17" s="5"/>
      <c r="J17" s="5" t="s">
        <v>504</v>
      </c>
    </row>
    <row r="18" spans="1:10" x14ac:dyDescent="0.35">
      <c r="A18" s="5">
        <v>4</v>
      </c>
      <c r="B18" s="5" t="s">
        <v>233</v>
      </c>
      <c r="C18" s="5"/>
      <c r="D18" s="5" t="s">
        <v>99</v>
      </c>
      <c r="E18" s="5">
        <v>3</v>
      </c>
      <c r="F18" s="6">
        <v>66.64</v>
      </c>
      <c r="G18" s="6">
        <v>199.92</v>
      </c>
      <c r="H18" s="5"/>
      <c r="I18" s="5"/>
      <c r="J18" s="5" t="s">
        <v>435</v>
      </c>
    </row>
    <row r="19" spans="1:10" x14ac:dyDescent="0.35">
      <c r="A19" s="5">
        <v>5</v>
      </c>
      <c r="B19" s="5" t="s">
        <v>235</v>
      </c>
      <c r="C19" s="5"/>
      <c r="D19" s="5" t="s">
        <v>99</v>
      </c>
      <c r="E19" s="5">
        <v>1</v>
      </c>
      <c r="F19" s="6">
        <v>12.72</v>
      </c>
      <c r="G19" s="6">
        <v>12.72</v>
      </c>
      <c r="H19" s="5"/>
      <c r="I19" s="5"/>
      <c r="J19" s="5" t="s">
        <v>444</v>
      </c>
    </row>
    <row r="20" spans="1:10" x14ac:dyDescent="0.35">
      <c r="A20" s="5">
        <v>6</v>
      </c>
      <c r="B20" s="5" t="s">
        <v>496</v>
      </c>
      <c r="C20" s="5"/>
      <c r="D20" s="5" t="s">
        <v>99</v>
      </c>
      <c r="E20" s="5">
        <v>2</v>
      </c>
      <c r="F20" s="6">
        <v>53.9</v>
      </c>
      <c r="G20" s="6">
        <v>107.8</v>
      </c>
      <c r="H20" s="5"/>
      <c r="I20" s="5"/>
      <c r="J20" s="5" t="s">
        <v>470</v>
      </c>
    </row>
    <row r="21" spans="1:10" x14ac:dyDescent="0.35">
      <c r="A21" s="5">
        <v>7</v>
      </c>
      <c r="B21" s="5" t="s">
        <v>300</v>
      </c>
      <c r="C21" s="5"/>
      <c r="D21" s="5" t="s">
        <v>99</v>
      </c>
      <c r="E21" s="5">
        <v>1</v>
      </c>
      <c r="F21" s="6">
        <v>6.04</v>
      </c>
      <c r="G21" s="6">
        <v>6.04</v>
      </c>
      <c r="H21" s="5"/>
      <c r="I21" s="5"/>
      <c r="J21" s="5" t="s">
        <v>465</v>
      </c>
    </row>
    <row r="22" spans="1:10" x14ac:dyDescent="0.35">
      <c r="A22" s="5">
        <v>8</v>
      </c>
      <c r="B22" s="5" t="s">
        <v>462</v>
      </c>
      <c r="C22" s="5"/>
      <c r="D22" s="5" t="s">
        <v>99</v>
      </c>
      <c r="E22" s="5">
        <v>2</v>
      </c>
      <c r="F22" s="6">
        <v>21</v>
      </c>
      <c r="G22" s="6">
        <v>42</v>
      </c>
      <c r="H22" s="5"/>
      <c r="I22" s="5"/>
      <c r="J22" s="5" t="s">
        <v>463</v>
      </c>
    </row>
    <row r="23" spans="1:10" x14ac:dyDescent="0.35">
      <c r="A23" s="19" t="s">
        <v>143</v>
      </c>
      <c r="B23" s="16"/>
      <c r="C23" s="16"/>
      <c r="D23" s="16"/>
      <c r="E23" s="16"/>
      <c r="F23" s="16"/>
      <c r="G23" s="12">
        <v>1112.18</v>
      </c>
      <c r="H23" s="13"/>
      <c r="I23" s="12"/>
      <c r="J23" s="13"/>
    </row>
    <row r="25" spans="1:10" x14ac:dyDescent="0.35">
      <c r="A25" s="20" t="s">
        <v>144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x14ac:dyDescent="0.35">
      <c r="A26" s="5">
        <v>1</v>
      </c>
      <c r="B26" s="5" t="s">
        <v>145</v>
      </c>
      <c r="C26" s="5" t="s">
        <v>146</v>
      </c>
      <c r="D26" s="5" t="s">
        <v>147</v>
      </c>
      <c r="E26" s="5">
        <v>1</v>
      </c>
      <c r="F26" s="6">
        <v>1000</v>
      </c>
      <c r="G26" s="6">
        <v>1000</v>
      </c>
      <c r="H26" s="5" t="s">
        <v>148</v>
      </c>
      <c r="I26" s="5" t="s">
        <v>148</v>
      </c>
      <c r="J26" s="5" t="s">
        <v>149</v>
      </c>
    </row>
    <row r="27" spans="1:10" x14ac:dyDescent="0.35">
      <c r="A27" s="19" t="s">
        <v>150</v>
      </c>
      <c r="B27" s="16"/>
      <c r="C27" s="16"/>
      <c r="D27" s="16"/>
      <c r="E27" s="16"/>
      <c r="F27" s="16"/>
      <c r="G27" s="12">
        <v>1000</v>
      </c>
      <c r="H27" s="13"/>
      <c r="I27" s="13"/>
      <c r="J27" s="13"/>
    </row>
    <row r="29" spans="1:10" x14ac:dyDescent="0.35">
      <c r="A29" s="20" t="s">
        <v>151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x14ac:dyDescent="0.35">
      <c r="A30" s="5">
        <v>1</v>
      </c>
      <c r="B30" s="5" t="s">
        <v>152</v>
      </c>
      <c r="C30" s="5" t="s">
        <v>448</v>
      </c>
      <c r="D30" s="5" t="s">
        <v>148</v>
      </c>
      <c r="E30" s="5">
        <v>1</v>
      </c>
      <c r="F30" s="6">
        <v>1000</v>
      </c>
      <c r="G30" s="6">
        <v>1000</v>
      </c>
      <c r="H30" s="5" t="s">
        <v>148</v>
      </c>
      <c r="I30" s="5" t="s">
        <v>148</v>
      </c>
      <c r="J30" s="5" t="s">
        <v>149</v>
      </c>
    </row>
    <row r="31" spans="1:10" x14ac:dyDescent="0.35">
      <c r="A31" s="19" t="s">
        <v>154</v>
      </c>
      <c r="B31" s="16"/>
      <c r="C31" s="16"/>
      <c r="D31" s="16"/>
      <c r="E31" s="16"/>
      <c r="F31" s="16"/>
      <c r="G31" s="12">
        <v>1000</v>
      </c>
      <c r="H31" s="13"/>
      <c r="I31" s="13"/>
      <c r="J31" s="13"/>
    </row>
    <row r="33" spans="1:10" x14ac:dyDescent="0.35">
      <c r="A33" s="15" t="s">
        <v>155</v>
      </c>
      <c r="B33" s="16"/>
      <c r="C33" s="16"/>
      <c r="D33" s="16"/>
      <c r="E33" s="16"/>
      <c r="F33" s="16"/>
      <c r="G33" s="9">
        <v>3824.38</v>
      </c>
      <c r="H33" s="8"/>
      <c r="I33" s="8"/>
      <c r="J33" s="8"/>
    </row>
    <row r="35" spans="1:10" x14ac:dyDescent="0.35">
      <c r="A35" s="1" t="s">
        <v>212</v>
      </c>
    </row>
    <row r="36" spans="1:10" x14ac:dyDescent="0.35">
      <c r="A36" s="14" t="s">
        <v>472</v>
      </c>
    </row>
  </sheetData>
  <mergeCells count="10">
    <mergeCell ref="A33:F33"/>
    <mergeCell ref="A1:J1"/>
    <mergeCell ref="A11:F11"/>
    <mergeCell ref="A23:F23"/>
    <mergeCell ref="A27:F27"/>
    <mergeCell ref="A31:F31"/>
    <mergeCell ref="A29:J29"/>
    <mergeCell ref="A4:J4"/>
    <mergeCell ref="A25:J25"/>
    <mergeCell ref="A13:J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7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557</v>
      </c>
      <c r="E2" t="s">
        <v>270</v>
      </c>
      <c r="G2" t="s">
        <v>558</v>
      </c>
      <c r="I2" t="s">
        <v>559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560</v>
      </c>
      <c r="C6" s="5"/>
      <c r="D6" s="5" t="s">
        <v>99</v>
      </c>
      <c r="E6" s="5">
        <v>1</v>
      </c>
      <c r="F6" s="5" t="s">
        <v>446</v>
      </c>
      <c r="G6" s="6">
        <v>0</v>
      </c>
      <c r="H6" s="5"/>
      <c r="I6" s="5"/>
      <c r="J6" s="5" t="s">
        <v>540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233</v>
      </c>
      <c r="C11" s="5"/>
      <c r="D11" s="5" t="s">
        <v>99</v>
      </c>
      <c r="E11" s="5">
        <v>6</v>
      </c>
      <c r="F11" s="6">
        <v>66.64</v>
      </c>
      <c r="G11" s="6">
        <v>399.84</v>
      </c>
      <c r="H11" s="5"/>
      <c r="I11" s="5"/>
      <c r="J11" s="5" t="s">
        <v>435</v>
      </c>
    </row>
    <row r="12" spans="1:10" x14ac:dyDescent="0.35">
      <c r="A12" s="5">
        <v>2</v>
      </c>
      <c r="B12" s="5" t="s">
        <v>496</v>
      </c>
      <c r="C12" s="5"/>
      <c r="D12" s="5" t="s">
        <v>99</v>
      </c>
      <c r="E12" s="5">
        <v>3</v>
      </c>
      <c r="F12" s="6">
        <v>53.9</v>
      </c>
      <c r="G12" s="6">
        <v>161.69999999999999</v>
      </c>
      <c r="H12" s="5"/>
      <c r="I12" s="5"/>
      <c r="J12" s="5" t="s">
        <v>470</v>
      </c>
    </row>
    <row r="13" spans="1:10" x14ac:dyDescent="0.35">
      <c r="A13" s="5">
        <v>3</v>
      </c>
      <c r="B13" s="5" t="s">
        <v>495</v>
      </c>
      <c r="C13" s="5"/>
      <c r="D13" s="5" t="s">
        <v>99</v>
      </c>
      <c r="E13" s="5">
        <v>2</v>
      </c>
      <c r="F13" s="6">
        <v>12.72</v>
      </c>
      <c r="G13" s="6">
        <v>25.44</v>
      </c>
      <c r="H13" s="5"/>
      <c r="I13" s="5"/>
      <c r="J13" s="5" t="s">
        <v>444</v>
      </c>
    </row>
    <row r="14" spans="1:10" x14ac:dyDescent="0.35">
      <c r="A14" s="5">
        <v>4</v>
      </c>
      <c r="B14" s="5" t="s">
        <v>134</v>
      </c>
      <c r="C14" s="5"/>
      <c r="D14" s="5" t="s">
        <v>99</v>
      </c>
      <c r="E14" s="5">
        <v>1</v>
      </c>
      <c r="F14" s="6">
        <v>5</v>
      </c>
      <c r="G14" s="6">
        <v>5</v>
      </c>
      <c r="H14" s="5"/>
      <c r="I14" s="5"/>
      <c r="J14" s="5" t="s">
        <v>438</v>
      </c>
    </row>
    <row r="15" spans="1:10" x14ac:dyDescent="0.35">
      <c r="A15" s="5">
        <v>5</v>
      </c>
      <c r="B15" s="5" t="s">
        <v>561</v>
      </c>
      <c r="C15" s="5"/>
      <c r="D15" s="5" t="s">
        <v>99</v>
      </c>
      <c r="E15" s="5">
        <v>2</v>
      </c>
      <c r="F15" s="6">
        <v>202.55</v>
      </c>
      <c r="G15" s="6">
        <v>405.1</v>
      </c>
      <c r="H15" s="5"/>
      <c r="I15" s="5"/>
      <c r="J15" s="5" t="s">
        <v>562</v>
      </c>
    </row>
    <row r="16" spans="1:10" x14ac:dyDescent="0.35">
      <c r="A16" s="5">
        <v>6</v>
      </c>
      <c r="B16" s="5" t="s">
        <v>164</v>
      </c>
      <c r="C16" s="5"/>
      <c r="D16" s="5" t="s">
        <v>99</v>
      </c>
      <c r="E16" s="5">
        <v>2</v>
      </c>
      <c r="F16" s="6">
        <v>39.049999999999997</v>
      </c>
      <c r="G16" s="6">
        <v>78.099999999999994</v>
      </c>
      <c r="H16" s="5"/>
      <c r="I16" s="5"/>
      <c r="J16" s="5" t="s">
        <v>461</v>
      </c>
    </row>
    <row r="17" spans="1:10" x14ac:dyDescent="0.35">
      <c r="A17" s="5">
        <v>7</v>
      </c>
      <c r="B17" s="5" t="s">
        <v>137</v>
      </c>
      <c r="C17" s="5"/>
      <c r="D17" s="5" t="s">
        <v>99</v>
      </c>
      <c r="E17" s="5">
        <v>1</v>
      </c>
      <c r="F17" s="6">
        <v>201</v>
      </c>
      <c r="G17" s="6">
        <v>201</v>
      </c>
      <c r="H17" s="5"/>
      <c r="I17" s="5"/>
      <c r="J17" s="5" t="s">
        <v>466</v>
      </c>
    </row>
    <row r="18" spans="1:10" x14ac:dyDescent="0.35">
      <c r="A18" s="5">
        <v>8</v>
      </c>
      <c r="B18" s="5" t="s">
        <v>300</v>
      </c>
      <c r="C18" s="5"/>
      <c r="D18" s="5" t="s">
        <v>99</v>
      </c>
      <c r="E18" s="5">
        <v>1</v>
      </c>
      <c r="F18" s="6">
        <v>6.04</v>
      </c>
      <c r="G18" s="6">
        <v>6.04</v>
      </c>
      <c r="H18" s="5"/>
      <c r="I18" s="5"/>
      <c r="J18" s="5" t="s">
        <v>465</v>
      </c>
    </row>
    <row r="19" spans="1:10" x14ac:dyDescent="0.35">
      <c r="A19" s="5">
        <v>9</v>
      </c>
      <c r="B19" s="5" t="s">
        <v>298</v>
      </c>
      <c r="C19" s="5"/>
      <c r="D19" s="5" t="s">
        <v>99</v>
      </c>
      <c r="E19" s="5">
        <v>1</v>
      </c>
      <c r="F19" s="6">
        <v>20</v>
      </c>
      <c r="G19" s="6">
        <v>20</v>
      </c>
      <c r="H19" s="5"/>
      <c r="I19" s="5"/>
      <c r="J19" s="5" t="s">
        <v>441</v>
      </c>
    </row>
    <row r="20" spans="1:10" x14ac:dyDescent="0.35">
      <c r="A20" s="5">
        <v>10</v>
      </c>
      <c r="B20" s="5" t="s">
        <v>486</v>
      </c>
      <c r="C20" s="5"/>
      <c r="D20" s="5" t="s">
        <v>99</v>
      </c>
      <c r="E20" s="5">
        <v>2</v>
      </c>
      <c r="F20" s="6">
        <v>3.24</v>
      </c>
      <c r="G20" s="6">
        <v>6.48</v>
      </c>
      <c r="H20" s="5"/>
      <c r="I20" s="5"/>
      <c r="J20" s="5" t="s">
        <v>440</v>
      </c>
    </row>
    <row r="21" spans="1:10" x14ac:dyDescent="0.35">
      <c r="A21" s="5">
        <v>11</v>
      </c>
      <c r="B21" s="5" t="s">
        <v>563</v>
      </c>
      <c r="C21" s="5"/>
      <c r="D21" s="5" t="s">
        <v>99</v>
      </c>
      <c r="E21" s="5">
        <v>4</v>
      </c>
      <c r="F21" s="6">
        <v>12.56</v>
      </c>
      <c r="G21" s="6">
        <v>50.24</v>
      </c>
      <c r="H21" s="5"/>
      <c r="I21" s="5"/>
      <c r="J21" s="5" t="s">
        <v>503</v>
      </c>
    </row>
    <row r="22" spans="1:10" x14ac:dyDescent="0.35">
      <c r="A22" s="5">
        <v>12</v>
      </c>
      <c r="B22" s="5" t="s">
        <v>462</v>
      </c>
      <c r="C22" s="5"/>
      <c r="D22" s="5" t="s">
        <v>99</v>
      </c>
      <c r="E22" s="5">
        <v>7</v>
      </c>
      <c r="F22" s="6">
        <v>21</v>
      </c>
      <c r="G22" s="6">
        <v>147</v>
      </c>
      <c r="H22" s="5"/>
      <c r="I22" s="5"/>
      <c r="J22" s="5" t="s">
        <v>463</v>
      </c>
    </row>
    <row r="23" spans="1:10" x14ac:dyDescent="0.35">
      <c r="A23" s="5">
        <v>13</v>
      </c>
      <c r="B23" s="5" t="s">
        <v>181</v>
      </c>
      <c r="C23" s="5"/>
      <c r="D23" s="5" t="s">
        <v>99</v>
      </c>
      <c r="E23" s="5">
        <v>1</v>
      </c>
      <c r="F23" s="6">
        <v>40.119999999999997</v>
      </c>
      <c r="G23" s="6">
        <v>40.119999999999997</v>
      </c>
      <c r="H23" s="5"/>
      <c r="I23" s="5"/>
      <c r="J23" s="5" t="s">
        <v>564</v>
      </c>
    </row>
    <row r="24" spans="1:10" x14ac:dyDescent="0.35">
      <c r="A24" s="19" t="s">
        <v>143</v>
      </c>
      <c r="B24" s="16"/>
      <c r="C24" s="16"/>
      <c r="D24" s="16"/>
      <c r="E24" s="16"/>
      <c r="F24" s="16"/>
      <c r="G24" s="12">
        <v>1546.06</v>
      </c>
      <c r="H24" s="13"/>
      <c r="I24" s="12"/>
      <c r="J24" s="13"/>
    </row>
    <row r="26" spans="1:10" x14ac:dyDescent="0.35">
      <c r="A26" s="20" t="s">
        <v>144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5">
        <v>1</v>
      </c>
      <c r="B27" s="5" t="s">
        <v>145</v>
      </c>
      <c r="C27" s="5" t="s">
        <v>146</v>
      </c>
      <c r="D27" s="5" t="s">
        <v>147</v>
      </c>
      <c r="E27" s="5">
        <v>1</v>
      </c>
      <c r="F27" s="6">
        <v>1000</v>
      </c>
      <c r="G27" s="6">
        <v>1000</v>
      </c>
      <c r="H27" s="5" t="s">
        <v>148</v>
      </c>
      <c r="I27" s="5" t="s">
        <v>148</v>
      </c>
      <c r="J27" s="5" t="s">
        <v>149</v>
      </c>
    </row>
    <row r="28" spans="1:10" x14ac:dyDescent="0.35">
      <c r="A28" s="19" t="s">
        <v>150</v>
      </c>
      <c r="B28" s="16"/>
      <c r="C28" s="16"/>
      <c r="D28" s="16"/>
      <c r="E28" s="16"/>
      <c r="F28" s="16"/>
      <c r="G28" s="12">
        <v>1000</v>
      </c>
      <c r="H28" s="13"/>
      <c r="I28" s="13"/>
      <c r="J28" s="13"/>
    </row>
    <row r="30" spans="1:10" x14ac:dyDescent="0.35">
      <c r="A30" s="20" t="s">
        <v>151</v>
      </c>
      <c r="B30" s="16"/>
      <c r="C30" s="16"/>
      <c r="D30" s="16"/>
      <c r="E30" s="16"/>
      <c r="F30" s="16"/>
      <c r="G30" s="16"/>
      <c r="H30" s="16"/>
      <c r="I30" s="16"/>
      <c r="J30" s="16"/>
    </row>
    <row r="31" spans="1:10" x14ac:dyDescent="0.35">
      <c r="A31" s="5">
        <v>1</v>
      </c>
      <c r="B31" s="5" t="s">
        <v>152</v>
      </c>
      <c r="C31" s="5" t="s">
        <v>522</v>
      </c>
      <c r="D31" s="5" t="s">
        <v>148</v>
      </c>
      <c r="E31" s="5">
        <v>2</v>
      </c>
      <c r="F31" s="6">
        <v>1000</v>
      </c>
      <c r="G31" s="6">
        <v>2000</v>
      </c>
      <c r="H31" s="5" t="s">
        <v>148</v>
      </c>
      <c r="I31" s="5" t="s">
        <v>148</v>
      </c>
      <c r="J31" s="5" t="s">
        <v>149</v>
      </c>
    </row>
    <row r="32" spans="1:10" x14ac:dyDescent="0.35">
      <c r="A32" s="19" t="s">
        <v>154</v>
      </c>
      <c r="B32" s="16"/>
      <c r="C32" s="16"/>
      <c r="D32" s="16"/>
      <c r="E32" s="16"/>
      <c r="F32" s="16"/>
      <c r="G32" s="12">
        <v>2000</v>
      </c>
      <c r="H32" s="13"/>
      <c r="I32" s="13"/>
      <c r="J32" s="13"/>
    </row>
    <row r="34" spans="1:10" x14ac:dyDescent="0.35">
      <c r="A34" s="15" t="s">
        <v>155</v>
      </c>
      <c r="B34" s="16"/>
      <c r="C34" s="16"/>
      <c r="D34" s="16"/>
      <c r="E34" s="16"/>
      <c r="F34" s="16"/>
      <c r="G34" s="9">
        <v>4546.0600000000004</v>
      </c>
      <c r="H34" s="8"/>
      <c r="I34" s="8"/>
      <c r="J34" s="8"/>
    </row>
    <row r="36" spans="1:10" x14ac:dyDescent="0.35">
      <c r="A36" s="1" t="s">
        <v>212</v>
      </c>
    </row>
    <row r="37" spans="1:10" x14ac:dyDescent="0.35">
      <c r="A37" s="14" t="s">
        <v>565</v>
      </c>
    </row>
  </sheetData>
  <mergeCells count="10">
    <mergeCell ref="A34:F34"/>
    <mergeCell ref="A26:J26"/>
    <mergeCell ref="A7:F7"/>
    <mergeCell ref="A24:F24"/>
    <mergeCell ref="A1:J1"/>
    <mergeCell ref="A28:F28"/>
    <mergeCell ref="A9:J9"/>
    <mergeCell ref="A32:F32"/>
    <mergeCell ref="A30:J30"/>
    <mergeCell ref="A4:J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2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566</v>
      </c>
      <c r="E2" t="s">
        <v>270</v>
      </c>
      <c r="G2" t="s">
        <v>567</v>
      </c>
      <c r="I2" t="s">
        <v>568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B6" t="s">
        <v>94</v>
      </c>
    </row>
    <row r="7" spans="1:10" x14ac:dyDescent="0.35">
      <c r="A7" s="19" t="s">
        <v>95</v>
      </c>
      <c r="B7" s="16"/>
      <c r="C7" s="16"/>
      <c r="D7" s="16"/>
      <c r="E7" s="16"/>
      <c r="F7" s="16"/>
      <c r="G7" s="12">
        <v>0</v>
      </c>
      <c r="H7" s="13"/>
      <c r="I7" s="12"/>
      <c r="J7" s="13"/>
    </row>
    <row r="9" spans="1:10" x14ac:dyDescent="0.35">
      <c r="A9" s="20" t="s">
        <v>96</v>
      </c>
      <c r="B9" s="16"/>
      <c r="C9" s="16"/>
      <c r="D9" s="16"/>
      <c r="E9" s="16"/>
      <c r="F9" s="16"/>
      <c r="G9" s="16"/>
      <c r="H9" s="16"/>
      <c r="I9" s="16"/>
      <c r="J9" s="16"/>
    </row>
    <row r="10" spans="1:10" x14ac:dyDescent="0.35">
      <c r="A10" s="11" t="s">
        <v>2</v>
      </c>
      <c r="B10" s="11" t="s">
        <v>85</v>
      </c>
      <c r="C10" s="11" t="s">
        <v>86</v>
      </c>
      <c r="D10" s="11" t="s">
        <v>87</v>
      </c>
      <c r="E10" s="11" t="s">
        <v>88</v>
      </c>
      <c r="F10" s="11" t="s">
        <v>89</v>
      </c>
      <c r="G10" s="11" t="s">
        <v>90</v>
      </c>
      <c r="H10" s="11" t="s">
        <v>91</v>
      </c>
      <c r="I10" s="11" t="s">
        <v>92</v>
      </c>
      <c r="J10" s="11" t="s">
        <v>93</v>
      </c>
    </row>
    <row r="11" spans="1:10" x14ac:dyDescent="0.35">
      <c r="A11" s="5">
        <v>1</v>
      </c>
      <c r="B11" s="5" t="s">
        <v>134</v>
      </c>
      <c r="C11" s="5"/>
      <c r="D11" s="5" t="s">
        <v>99</v>
      </c>
      <c r="E11" s="5">
        <v>1</v>
      </c>
      <c r="F11" s="6">
        <v>5</v>
      </c>
      <c r="G11" s="6">
        <v>5</v>
      </c>
      <c r="H11" s="5"/>
      <c r="I11" s="5"/>
      <c r="J11" s="5" t="s">
        <v>438</v>
      </c>
    </row>
    <row r="12" spans="1:10" x14ac:dyDescent="0.35">
      <c r="A12" s="5">
        <v>2</v>
      </c>
      <c r="B12" s="5" t="s">
        <v>163</v>
      </c>
      <c r="C12" s="5"/>
      <c r="D12" s="5" t="s">
        <v>99</v>
      </c>
      <c r="E12" s="5">
        <v>1</v>
      </c>
      <c r="F12" s="6">
        <v>202.55</v>
      </c>
      <c r="G12" s="6">
        <v>202.55</v>
      </c>
      <c r="H12" s="5"/>
      <c r="I12" s="5"/>
      <c r="J12" s="5" t="s">
        <v>437</v>
      </c>
    </row>
    <row r="13" spans="1:10" x14ac:dyDescent="0.35">
      <c r="A13" s="5">
        <v>3</v>
      </c>
      <c r="B13" s="5" t="s">
        <v>137</v>
      </c>
      <c r="C13" s="5"/>
      <c r="D13" s="5" t="s">
        <v>99</v>
      </c>
      <c r="E13" s="5">
        <v>1</v>
      </c>
      <c r="F13" s="6">
        <v>201</v>
      </c>
      <c r="G13" s="6">
        <v>201</v>
      </c>
      <c r="H13" s="5"/>
      <c r="I13" s="5"/>
      <c r="J13" s="5" t="s">
        <v>466</v>
      </c>
    </row>
    <row r="14" spans="1:10" x14ac:dyDescent="0.35">
      <c r="A14" s="5">
        <v>4</v>
      </c>
      <c r="B14" s="5" t="s">
        <v>235</v>
      </c>
      <c r="C14" s="5"/>
      <c r="D14" s="5" t="s">
        <v>99</v>
      </c>
      <c r="E14" s="5">
        <v>2</v>
      </c>
      <c r="F14" s="6">
        <v>12.72</v>
      </c>
      <c r="G14" s="6">
        <v>25.44</v>
      </c>
      <c r="H14" s="5"/>
      <c r="I14" s="5"/>
      <c r="J14" s="5" t="s">
        <v>444</v>
      </c>
    </row>
    <row r="15" spans="1:10" x14ac:dyDescent="0.35">
      <c r="A15" s="5">
        <v>5</v>
      </c>
      <c r="B15" s="5" t="s">
        <v>496</v>
      </c>
      <c r="C15" s="5"/>
      <c r="D15" s="5" t="s">
        <v>99</v>
      </c>
      <c r="E15" s="5">
        <v>2</v>
      </c>
      <c r="F15" s="6">
        <v>53.9</v>
      </c>
      <c r="G15" s="6">
        <v>107.8</v>
      </c>
      <c r="H15" s="5"/>
      <c r="I15" s="5"/>
      <c r="J15" s="5" t="s">
        <v>470</v>
      </c>
    </row>
    <row r="16" spans="1:10" x14ac:dyDescent="0.35">
      <c r="A16" s="5">
        <v>6</v>
      </c>
      <c r="B16" s="5" t="s">
        <v>233</v>
      </c>
      <c r="C16" s="5"/>
      <c r="D16" s="5" t="s">
        <v>99</v>
      </c>
      <c r="E16" s="5">
        <v>2</v>
      </c>
      <c r="F16" s="6">
        <v>66.64</v>
      </c>
      <c r="G16" s="6">
        <v>133.28</v>
      </c>
      <c r="H16" s="5"/>
      <c r="I16" s="5"/>
      <c r="J16" s="5" t="s">
        <v>435</v>
      </c>
    </row>
    <row r="17" spans="1:10" x14ac:dyDescent="0.35">
      <c r="A17" s="5">
        <v>7</v>
      </c>
      <c r="B17" s="5" t="s">
        <v>486</v>
      </c>
      <c r="C17" s="5"/>
      <c r="D17" s="5" t="s">
        <v>99</v>
      </c>
      <c r="E17" s="5">
        <v>1</v>
      </c>
      <c r="F17" s="6">
        <v>3.24</v>
      </c>
      <c r="G17" s="6">
        <v>3.24</v>
      </c>
      <c r="H17" s="5"/>
      <c r="I17" s="5"/>
      <c r="J17" s="5" t="s">
        <v>440</v>
      </c>
    </row>
    <row r="18" spans="1:10" x14ac:dyDescent="0.35">
      <c r="A18" s="5">
        <v>8</v>
      </c>
      <c r="B18" s="5" t="s">
        <v>164</v>
      </c>
      <c r="C18" s="5"/>
      <c r="D18" s="5" t="s">
        <v>99</v>
      </c>
      <c r="E18" s="5">
        <v>2</v>
      </c>
      <c r="F18" s="6">
        <v>39.049999999999997</v>
      </c>
      <c r="G18" s="6">
        <v>78.099999999999994</v>
      </c>
      <c r="H18" s="5"/>
      <c r="I18" s="5"/>
      <c r="J18" s="5" t="s">
        <v>461</v>
      </c>
    </row>
    <row r="19" spans="1:10" x14ac:dyDescent="0.35">
      <c r="A19" s="5">
        <v>9</v>
      </c>
      <c r="B19" s="5" t="s">
        <v>497</v>
      </c>
      <c r="C19" s="5"/>
      <c r="D19" s="5" t="s">
        <v>99</v>
      </c>
      <c r="E19" s="5">
        <v>2</v>
      </c>
      <c r="F19" s="6">
        <v>23.8</v>
      </c>
      <c r="G19" s="6">
        <v>47.6</v>
      </c>
      <c r="H19" s="5"/>
      <c r="I19" s="5"/>
      <c r="J19" s="5" t="s">
        <v>498</v>
      </c>
    </row>
    <row r="20" spans="1:10" x14ac:dyDescent="0.35">
      <c r="A20" s="19" t="s">
        <v>143</v>
      </c>
      <c r="B20" s="16"/>
      <c r="C20" s="16"/>
      <c r="D20" s="16"/>
      <c r="E20" s="16"/>
      <c r="F20" s="16"/>
      <c r="G20" s="12">
        <v>804.01</v>
      </c>
      <c r="H20" s="13"/>
      <c r="I20" s="12"/>
      <c r="J20" s="13"/>
    </row>
    <row r="22" spans="1:10" x14ac:dyDescent="0.35">
      <c r="A22" s="20" t="s">
        <v>144</v>
      </c>
      <c r="B22" s="16"/>
      <c r="C22" s="16"/>
      <c r="D22" s="16"/>
      <c r="E22" s="16"/>
      <c r="F22" s="16"/>
      <c r="G22" s="16"/>
      <c r="H22" s="16"/>
      <c r="I22" s="16"/>
      <c r="J22" s="16"/>
    </row>
    <row r="23" spans="1:10" x14ac:dyDescent="0.35">
      <c r="A23" s="5">
        <v>1</v>
      </c>
      <c r="B23" s="5" t="s">
        <v>145</v>
      </c>
      <c r="C23" s="5" t="s">
        <v>146</v>
      </c>
      <c r="D23" s="5" t="s">
        <v>147</v>
      </c>
      <c r="E23" s="5">
        <v>1</v>
      </c>
      <c r="F23" s="6">
        <v>1000</v>
      </c>
      <c r="G23" s="6">
        <v>1000</v>
      </c>
      <c r="H23" s="5" t="s">
        <v>148</v>
      </c>
      <c r="I23" s="5" t="s">
        <v>148</v>
      </c>
      <c r="J23" s="5" t="s">
        <v>149</v>
      </c>
    </row>
    <row r="24" spans="1:10" x14ac:dyDescent="0.35">
      <c r="A24" s="19" t="s">
        <v>150</v>
      </c>
      <c r="B24" s="16"/>
      <c r="C24" s="16"/>
      <c r="D24" s="16"/>
      <c r="E24" s="16"/>
      <c r="F24" s="16"/>
      <c r="G24" s="12">
        <v>1000</v>
      </c>
      <c r="H24" s="13"/>
      <c r="I24" s="13"/>
      <c r="J24" s="13"/>
    </row>
    <row r="26" spans="1:10" x14ac:dyDescent="0.35">
      <c r="A26" s="20" t="s">
        <v>151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x14ac:dyDescent="0.35">
      <c r="A27" s="5">
        <v>1</v>
      </c>
      <c r="B27" s="5" t="s">
        <v>152</v>
      </c>
      <c r="C27" s="5" t="s">
        <v>448</v>
      </c>
      <c r="D27" s="5" t="s">
        <v>148</v>
      </c>
      <c r="E27" s="5">
        <v>1</v>
      </c>
      <c r="F27" s="6">
        <v>1000</v>
      </c>
      <c r="G27" s="6">
        <v>1000</v>
      </c>
      <c r="H27" s="5" t="s">
        <v>148</v>
      </c>
      <c r="I27" s="5" t="s">
        <v>148</v>
      </c>
      <c r="J27" s="5" t="s">
        <v>149</v>
      </c>
    </row>
    <row r="28" spans="1:10" x14ac:dyDescent="0.35">
      <c r="A28" s="19" t="s">
        <v>154</v>
      </c>
      <c r="B28" s="16"/>
      <c r="C28" s="16"/>
      <c r="D28" s="16"/>
      <c r="E28" s="16"/>
      <c r="F28" s="16"/>
      <c r="G28" s="12">
        <v>1000</v>
      </c>
      <c r="H28" s="13"/>
      <c r="I28" s="13"/>
      <c r="J28" s="13"/>
    </row>
    <row r="30" spans="1:10" x14ac:dyDescent="0.35">
      <c r="A30" s="15" t="s">
        <v>155</v>
      </c>
      <c r="B30" s="16"/>
      <c r="C30" s="16"/>
      <c r="D30" s="16"/>
      <c r="E30" s="16"/>
      <c r="F30" s="16"/>
      <c r="G30" s="9">
        <v>2804.01</v>
      </c>
      <c r="H30" s="8"/>
      <c r="I30" s="8"/>
      <c r="J30" s="8"/>
    </row>
    <row r="32" spans="1:10" x14ac:dyDescent="0.35">
      <c r="A32" s="1" t="s">
        <v>212</v>
      </c>
    </row>
  </sheetData>
  <mergeCells count="10">
    <mergeCell ref="A30:F30"/>
    <mergeCell ref="A7:F7"/>
    <mergeCell ref="A24:F24"/>
    <mergeCell ref="A1:J1"/>
    <mergeCell ref="A28:F28"/>
    <mergeCell ref="A22:J22"/>
    <mergeCell ref="A9:J9"/>
    <mergeCell ref="A4:J4"/>
    <mergeCell ref="A26:J26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47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569</v>
      </c>
      <c r="E2" t="s">
        <v>570</v>
      </c>
      <c r="G2" t="s">
        <v>571</v>
      </c>
      <c r="I2" t="s">
        <v>572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573</v>
      </c>
      <c r="C6" s="5"/>
      <c r="D6" s="5" t="s">
        <v>99</v>
      </c>
      <c r="E6" s="5">
        <v>1</v>
      </c>
      <c r="F6" s="6">
        <v>153</v>
      </c>
      <c r="G6" s="6">
        <v>153</v>
      </c>
      <c r="H6" s="5"/>
      <c r="I6" s="5"/>
      <c r="J6" s="5" t="s">
        <v>574</v>
      </c>
    </row>
    <row r="7" spans="1:10" x14ac:dyDescent="0.35">
      <c r="A7" s="5">
        <v>2</v>
      </c>
      <c r="B7" s="5" t="s">
        <v>453</v>
      </c>
      <c r="C7" s="5"/>
      <c r="D7" s="5" t="s">
        <v>99</v>
      </c>
      <c r="E7" s="5">
        <v>1</v>
      </c>
      <c r="F7" s="6">
        <v>31.47</v>
      </c>
      <c r="G7" s="6">
        <v>31.47</v>
      </c>
      <c r="H7" s="5"/>
      <c r="I7" s="5"/>
      <c r="J7" s="5" t="s">
        <v>454</v>
      </c>
    </row>
    <row r="8" spans="1:10" x14ac:dyDescent="0.35">
      <c r="A8" s="5">
        <v>3</v>
      </c>
      <c r="B8" s="5" t="s">
        <v>365</v>
      </c>
      <c r="C8" s="5"/>
      <c r="D8" s="5" t="s">
        <v>99</v>
      </c>
      <c r="E8" s="5">
        <v>2</v>
      </c>
      <c r="F8" s="6">
        <v>71.97</v>
      </c>
      <c r="G8" s="6">
        <v>143.94</v>
      </c>
      <c r="H8" s="5"/>
      <c r="I8" s="5"/>
      <c r="J8" s="5" t="s">
        <v>575</v>
      </c>
    </row>
    <row r="9" spans="1:10" x14ac:dyDescent="0.35">
      <c r="A9" s="5">
        <v>4</v>
      </c>
      <c r="B9" s="5" t="s">
        <v>486</v>
      </c>
      <c r="C9" s="5"/>
      <c r="D9" s="5" t="s">
        <v>99</v>
      </c>
      <c r="E9" s="5">
        <v>1</v>
      </c>
      <c r="F9" s="6">
        <v>3.24</v>
      </c>
      <c r="G9" s="6">
        <v>3.24</v>
      </c>
      <c r="H9" s="5"/>
      <c r="I9" s="5"/>
      <c r="J9" s="5" t="s">
        <v>440</v>
      </c>
    </row>
    <row r="10" spans="1:10" x14ac:dyDescent="0.35">
      <c r="A10" s="5">
        <v>5</v>
      </c>
      <c r="B10" s="5" t="s">
        <v>482</v>
      </c>
      <c r="C10" s="5"/>
      <c r="D10" s="5" t="s">
        <v>99</v>
      </c>
      <c r="E10" s="5">
        <v>10</v>
      </c>
      <c r="F10" s="6">
        <v>14</v>
      </c>
      <c r="G10" s="6">
        <v>140</v>
      </c>
      <c r="H10" s="5"/>
      <c r="I10" s="5"/>
      <c r="J10" s="5" t="s">
        <v>483</v>
      </c>
    </row>
    <row r="11" spans="1:10" x14ac:dyDescent="0.35">
      <c r="A11" s="5">
        <v>6</v>
      </c>
      <c r="B11" s="5" t="s">
        <v>432</v>
      </c>
      <c r="C11" s="5"/>
      <c r="D11" s="5" t="s">
        <v>99</v>
      </c>
      <c r="E11" s="5">
        <v>1</v>
      </c>
      <c r="F11" s="6">
        <v>200</v>
      </c>
      <c r="G11" s="6">
        <v>200</v>
      </c>
      <c r="H11" s="5"/>
      <c r="I11" s="5"/>
      <c r="J11" s="5" t="s">
        <v>433</v>
      </c>
    </row>
    <row r="12" spans="1:10" x14ac:dyDescent="0.35">
      <c r="A12" s="5">
        <v>7</v>
      </c>
      <c r="B12" s="5" t="s">
        <v>455</v>
      </c>
      <c r="C12" s="5"/>
      <c r="D12" s="5" t="s">
        <v>99</v>
      </c>
      <c r="E12" s="5">
        <v>2</v>
      </c>
      <c r="F12" s="6">
        <v>91</v>
      </c>
      <c r="G12" s="6">
        <v>182</v>
      </c>
      <c r="H12" s="5"/>
      <c r="I12" s="5"/>
      <c r="J12" s="5" t="s">
        <v>456</v>
      </c>
    </row>
    <row r="13" spans="1:10" x14ac:dyDescent="0.35">
      <c r="A13" s="5">
        <v>8</v>
      </c>
      <c r="B13" s="5" t="s">
        <v>480</v>
      </c>
      <c r="C13" s="5"/>
      <c r="D13" s="5" t="s">
        <v>99</v>
      </c>
      <c r="E13" s="5">
        <v>1</v>
      </c>
      <c r="F13" s="6">
        <v>97</v>
      </c>
      <c r="G13" s="6">
        <v>97</v>
      </c>
      <c r="H13" s="5"/>
      <c r="I13" s="5"/>
      <c r="J13" s="5" t="s">
        <v>481</v>
      </c>
    </row>
    <row r="14" spans="1:10" x14ac:dyDescent="0.35">
      <c r="A14" s="5">
        <v>9</v>
      </c>
      <c r="B14" s="5" t="s">
        <v>140</v>
      </c>
      <c r="C14" s="5"/>
      <c r="D14" s="5" t="s">
        <v>99</v>
      </c>
      <c r="E14" s="5">
        <v>1</v>
      </c>
      <c r="F14" s="6">
        <v>236.25</v>
      </c>
      <c r="G14" s="6">
        <v>236.25</v>
      </c>
      <c r="H14" s="5"/>
      <c r="I14" s="5"/>
      <c r="J14" s="5" t="s">
        <v>431</v>
      </c>
    </row>
    <row r="15" spans="1:10" x14ac:dyDescent="0.35">
      <c r="A15" s="5">
        <v>10</v>
      </c>
      <c r="B15" s="5" t="s">
        <v>205</v>
      </c>
      <c r="C15" s="5"/>
      <c r="D15" s="5" t="s">
        <v>99</v>
      </c>
      <c r="E15" s="5">
        <v>1</v>
      </c>
      <c r="F15" s="6">
        <v>63.3</v>
      </c>
      <c r="G15" s="6">
        <v>63.3</v>
      </c>
      <c r="H15" s="5"/>
      <c r="I15" s="5"/>
      <c r="J15" s="5" t="s">
        <v>464</v>
      </c>
    </row>
    <row r="16" spans="1:10" x14ac:dyDescent="0.35">
      <c r="A16" s="5">
        <v>11</v>
      </c>
      <c r="B16" s="5" t="s">
        <v>164</v>
      </c>
      <c r="C16" s="5"/>
      <c r="D16" s="5" t="s">
        <v>99</v>
      </c>
      <c r="E16" s="5">
        <v>1</v>
      </c>
      <c r="F16" s="6">
        <v>39.049999999999997</v>
      </c>
      <c r="G16" s="6">
        <v>39.049999999999997</v>
      </c>
      <c r="H16" s="5"/>
      <c r="I16" s="5"/>
      <c r="J16" s="5" t="s">
        <v>576</v>
      </c>
    </row>
    <row r="17" spans="1:10" x14ac:dyDescent="0.35">
      <c r="A17" s="5">
        <v>12</v>
      </c>
      <c r="B17" s="5" t="s">
        <v>298</v>
      </c>
      <c r="C17" s="5"/>
      <c r="D17" s="5" t="s">
        <v>99</v>
      </c>
      <c r="E17" s="5">
        <v>1</v>
      </c>
      <c r="F17" s="6">
        <v>20</v>
      </c>
      <c r="G17" s="6">
        <v>20</v>
      </c>
      <c r="H17" s="5"/>
      <c r="I17" s="5"/>
      <c r="J17" s="5" t="s">
        <v>577</v>
      </c>
    </row>
    <row r="18" spans="1:10" x14ac:dyDescent="0.35">
      <c r="A18" s="5">
        <v>13</v>
      </c>
      <c r="B18" s="5" t="s">
        <v>296</v>
      </c>
      <c r="C18" s="5"/>
      <c r="D18" s="5" t="s">
        <v>99</v>
      </c>
      <c r="E18" s="5">
        <v>1</v>
      </c>
      <c r="F18" s="6">
        <v>10.23</v>
      </c>
      <c r="G18" s="6">
        <v>10.23</v>
      </c>
      <c r="H18" s="5"/>
      <c r="I18" s="5"/>
      <c r="J18" s="5" t="s">
        <v>578</v>
      </c>
    </row>
    <row r="19" spans="1:10" x14ac:dyDescent="0.35">
      <c r="A19" s="19" t="s">
        <v>95</v>
      </c>
      <c r="B19" s="16"/>
      <c r="C19" s="16"/>
      <c r="D19" s="16"/>
      <c r="E19" s="16"/>
      <c r="F19" s="16"/>
      <c r="G19" s="12">
        <v>1319.48</v>
      </c>
      <c r="H19" s="13"/>
      <c r="I19" s="12"/>
      <c r="J19" s="13"/>
    </row>
    <row r="21" spans="1:10" x14ac:dyDescent="0.35">
      <c r="A21" s="20" t="s">
        <v>96</v>
      </c>
      <c r="B21" s="16"/>
      <c r="C21" s="16"/>
      <c r="D21" s="16"/>
      <c r="E21" s="16"/>
      <c r="F21" s="16"/>
      <c r="G21" s="16"/>
      <c r="H21" s="16"/>
      <c r="I21" s="16"/>
      <c r="J21" s="16"/>
    </row>
    <row r="22" spans="1:10" x14ac:dyDescent="0.35">
      <c r="A22" s="11" t="s">
        <v>2</v>
      </c>
      <c r="B22" s="11" t="s">
        <v>85</v>
      </c>
      <c r="C22" s="11" t="s">
        <v>86</v>
      </c>
      <c r="D22" s="11" t="s">
        <v>87</v>
      </c>
      <c r="E22" s="11" t="s">
        <v>88</v>
      </c>
      <c r="F22" s="11" t="s">
        <v>89</v>
      </c>
      <c r="G22" s="11" t="s">
        <v>90</v>
      </c>
      <c r="H22" s="11" t="s">
        <v>91</v>
      </c>
      <c r="I22" s="11" t="s">
        <v>92</v>
      </c>
      <c r="J22" s="11" t="s">
        <v>93</v>
      </c>
    </row>
    <row r="23" spans="1:10" x14ac:dyDescent="0.35">
      <c r="A23" s="5">
        <v>1</v>
      </c>
      <c r="B23" s="5" t="s">
        <v>164</v>
      </c>
      <c r="C23" s="5"/>
      <c r="D23" s="5" t="s">
        <v>99</v>
      </c>
      <c r="E23" s="5">
        <v>2</v>
      </c>
      <c r="F23" s="6">
        <v>39.049999999999997</v>
      </c>
      <c r="G23" s="6">
        <v>78.099999999999994</v>
      </c>
      <c r="H23" s="5"/>
      <c r="I23" s="5"/>
      <c r="J23" s="5" t="s">
        <v>576</v>
      </c>
    </row>
    <row r="24" spans="1:10" x14ac:dyDescent="0.35">
      <c r="A24" s="5">
        <v>2</v>
      </c>
      <c r="B24" s="5" t="s">
        <v>103</v>
      </c>
      <c r="C24" s="5"/>
      <c r="D24" s="5" t="s">
        <v>99</v>
      </c>
      <c r="E24" s="5">
        <v>3</v>
      </c>
      <c r="F24" s="6">
        <v>7.48</v>
      </c>
      <c r="G24" s="6">
        <v>22.44</v>
      </c>
      <c r="H24" s="5"/>
      <c r="I24" s="5"/>
      <c r="J24" s="5" t="s">
        <v>521</v>
      </c>
    </row>
    <row r="25" spans="1:10" x14ac:dyDescent="0.35">
      <c r="A25" s="5">
        <v>3</v>
      </c>
      <c r="B25" s="5" t="s">
        <v>495</v>
      </c>
      <c r="C25" s="5"/>
      <c r="D25" s="5" t="s">
        <v>99</v>
      </c>
      <c r="E25" s="5">
        <v>3</v>
      </c>
      <c r="F25" s="6">
        <v>12.72</v>
      </c>
      <c r="G25" s="6">
        <v>38.159999999999997</v>
      </c>
      <c r="H25" s="5"/>
      <c r="I25" s="5"/>
      <c r="J25" s="5" t="s">
        <v>444</v>
      </c>
    </row>
    <row r="26" spans="1:10" x14ac:dyDescent="0.35">
      <c r="A26" s="5">
        <v>4</v>
      </c>
      <c r="B26" s="5" t="s">
        <v>233</v>
      </c>
      <c r="C26" s="5"/>
      <c r="D26" s="5" t="s">
        <v>99</v>
      </c>
      <c r="E26" s="5">
        <v>4</v>
      </c>
      <c r="F26" s="6">
        <v>66.64</v>
      </c>
      <c r="G26" s="6">
        <v>266.56</v>
      </c>
      <c r="H26" s="5"/>
      <c r="I26" s="5"/>
      <c r="J26" s="5" t="s">
        <v>435</v>
      </c>
    </row>
    <row r="27" spans="1:10" x14ac:dyDescent="0.35">
      <c r="A27" s="5">
        <v>5</v>
      </c>
      <c r="B27" s="5" t="s">
        <v>579</v>
      </c>
      <c r="C27" s="5"/>
      <c r="D27" s="5" t="s">
        <v>99</v>
      </c>
      <c r="E27" s="5">
        <v>3</v>
      </c>
      <c r="F27" s="6">
        <v>22.05</v>
      </c>
      <c r="G27" s="6">
        <v>66.150000000000006</v>
      </c>
      <c r="H27" s="5"/>
      <c r="I27" s="5"/>
      <c r="J27" s="5" t="s">
        <v>580</v>
      </c>
    </row>
    <row r="28" spans="1:10" x14ac:dyDescent="0.35">
      <c r="A28" s="5">
        <v>6</v>
      </c>
      <c r="B28" s="5" t="s">
        <v>581</v>
      </c>
      <c r="C28" s="5"/>
      <c r="D28" s="5" t="s">
        <v>99</v>
      </c>
      <c r="E28" s="5">
        <v>3</v>
      </c>
      <c r="F28" s="6">
        <v>23.8</v>
      </c>
      <c r="G28" s="6">
        <v>71.400000000000006</v>
      </c>
      <c r="H28" s="5"/>
      <c r="I28" s="5"/>
      <c r="J28" s="5" t="s">
        <v>498</v>
      </c>
    </row>
    <row r="29" spans="1:10" x14ac:dyDescent="0.35">
      <c r="A29" s="5">
        <v>7</v>
      </c>
      <c r="B29" s="5" t="s">
        <v>298</v>
      </c>
      <c r="C29" s="5"/>
      <c r="D29" s="5" t="s">
        <v>99</v>
      </c>
      <c r="E29" s="5">
        <v>1</v>
      </c>
      <c r="F29" s="6">
        <v>20</v>
      </c>
      <c r="G29" s="6">
        <v>20</v>
      </c>
      <c r="H29" s="5"/>
      <c r="I29" s="5"/>
      <c r="J29" s="5" t="s">
        <v>577</v>
      </c>
    </row>
    <row r="30" spans="1:10" x14ac:dyDescent="0.35">
      <c r="A30" s="5">
        <v>8</v>
      </c>
      <c r="B30" s="5" t="s">
        <v>296</v>
      </c>
      <c r="C30" s="5"/>
      <c r="D30" s="5" t="s">
        <v>99</v>
      </c>
      <c r="E30" s="5">
        <v>1</v>
      </c>
      <c r="F30" s="6">
        <v>10.23</v>
      </c>
      <c r="G30" s="6">
        <v>10.23</v>
      </c>
      <c r="H30" s="5"/>
      <c r="I30" s="5"/>
      <c r="J30" s="5" t="s">
        <v>578</v>
      </c>
    </row>
    <row r="31" spans="1:10" x14ac:dyDescent="0.35">
      <c r="A31" s="5">
        <v>9</v>
      </c>
      <c r="B31" s="5" t="s">
        <v>300</v>
      </c>
      <c r="C31" s="5"/>
      <c r="D31" s="5" t="s">
        <v>99</v>
      </c>
      <c r="E31" s="5">
        <v>1</v>
      </c>
      <c r="F31" s="6">
        <v>6.04</v>
      </c>
      <c r="G31" s="6">
        <v>6.04</v>
      </c>
      <c r="H31" s="5"/>
      <c r="I31" s="5"/>
      <c r="J31" s="5" t="s">
        <v>465</v>
      </c>
    </row>
    <row r="32" spans="1:10" x14ac:dyDescent="0.35">
      <c r="A32" s="5">
        <v>10</v>
      </c>
      <c r="B32" s="5" t="s">
        <v>132</v>
      </c>
      <c r="C32" s="5"/>
      <c r="D32" s="5" t="s">
        <v>99</v>
      </c>
      <c r="E32" s="5">
        <v>1</v>
      </c>
      <c r="F32" s="6">
        <v>321</v>
      </c>
      <c r="G32" s="6">
        <v>321</v>
      </c>
      <c r="H32" s="5"/>
      <c r="I32" s="5"/>
      <c r="J32" s="5" t="s">
        <v>436</v>
      </c>
    </row>
    <row r="33" spans="1:10" x14ac:dyDescent="0.35">
      <c r="A33" s="5">
        <v>11</v>
      </c>
      <c r="B33" s="5" t="s">
        <v>134</v>
      </c>
      <c r="C33" s="5"/>
      <c r="D33" s="5" t="s">
        <v>99</v>
      </c>
      <c r="E33" s="5">
        <v>1</v>
      </c>
      <c r="F33" s="6">
        <v>5</v>
      </c>
      <c r="G33" s="6">
        <v>5</v>
      </c>
      <c r="H33" s="5"/>
      <c r="I33" s="5"/>
      <c r="J33" s="5" t="s">
        <v>438</v>
      </c>
    </row>
    <row r="34" spans="1:10" x14ac:dyDescent="0.35">
      <c r="A34" s="5">
        <v>12</v>
      </c>
      <c r="B34" s="5" t="s">
        <v>137</v>
      </c>
      <c r="C34" s="5"/>
      <c r="D34" s="5" t="s">
        <v>99</v>
      </c>
      <c r="E34" s="5">
        <v>1</v>
      </c>
      <c r="F34" s="6">
        <v>201</v>
      </c>
      <c r="G34" s="6">
        <v>201</v>
      </c>
      <c r="H34" s="5"/>
      <c r="I34" s="5"/>
      <c r="J34" s="5" t="s">
        <v>466</v>
      </c>
    </row>
    <row r="35" spans="1:10" x14ac:dyDescent="0.35">
      <c r="A35" s="19" t="s">
        <v>143</v>
      </c>
      <c r="B35" s="16"/>
      <c r="C35" s="16"/>
      <c r="D35" s="16"/>
      <c r="E35" s="16"/>
      <c r="F35" s="16"/>
      <c r="G35" s="12">
        <v>1106.08</v>
      </c>
      <c r="H35" s="13"/>
      <c r="I35" s="12"/>
      <c r="J35" s="13"/>
    </row>
    <row r="37" spans="1:10" x14ac:dyDescent="0.35">
      <c r="A37" s="20" t="s">
        <v>144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5">
      <c r="A38" s="5">
        <v>1</v>
      </c>
      <c r="B38" s="5" t="s">
        <v>145</v>
      </c>
      <c r="C38" s="5" t="s">
        <v>146</v>
      </c>
      <c r="D38" s="5" t="s">
        <v>147</v>
      </c>
      <c r="E38" s="5">
        <v>1</v>
      </c>
      <c r="F38" s="6">
        <v>1000</v>
      </c>
      <c r="G38" s="6">
        <v>1000</v>
      </c>
      <c r="H38" s="5" t="s">
        <v>148</v>
      </c>
      <c r="I38" s="5" t="s">
        <v>148</v>
      </c>
      <c r="J38" s="5" t="s">
        <v>149</v>
      </c>
    </row>
    <row r="39" spans="1:10" x14ac:dyDescent="0.35">
      <c r="A39" s="19" t="s">
        <v>150</v>
      </c>
      <c r="B39" s="16"/>
      <c r="C39" s="16"/>
      <c r="D39" s="16"/>
      <c r="E39" s="16"/>
      <c r="F39" s="16"/>
      <c r="G39" s="12">
        <v>1000</v>
      </c>
      <c r="H39" s="13"/>
      <c r="I39" s="13"/>
      <c r="J39" s="13"/>
    </row>
    <row r="41" spans="1:10" x14ac:dyDescent="0.35">
      <c r="A41" s="20" t="s">
        <v>151</v>
      </c>
      <c r="B41" s="16"/>
      <c r="C41" s="16"/>
      <c r="D41" s="16"/>
      <c r="E41" s="16"/>
      <c r="F41" s="16"/>
      <c r="G41" s="16"/>
      <c r="H41" s="16"/>
      <c r="I41" s="16"/>
      <c r="J41" s="16"/>
    </row>
    <row r="42" spans="1:10" x14ac:dyDescent="0.35">
      <c r="A42" s="5">
        <v>1</v>
      </c>
      <c r="B42" s="5" t="s">
        <v>152</v>
      </c>
      <c r="C42" s="5" t="s">
        <v>448</v>
      </c>
      <c r="D42" s="5" t="s">
        <v>148</v>
      </c>
      <c r="E42" s="5">
        <v>1</v>
      </c>
      <c r="F42" s="6">
        <v>1000</v>
      </c>
      <c r="G42" s="6">
        <v>1000</v>
      </c>
      <c r="H42" s="5" t="s">
        <v>148</v>
      </c>
      <c r="I42" s="5" t="s">
        <v>148</v>
      </c>
      <c r="J42" s="5" t="s">
        <v>149</v>
      </c>
    </row>
    <row r="43" spans="1:10" x14ac:dyDescent="0.35">
      <c r="A43" s="19" t="s">
        <v>154</v>
      </c>
      <c r="B43" s="16"/>
      <c r="C43" s="16"/>
      <c r="D43" s="16"/>
      <c r="E43" s="16"/>
      <c r="F43" s="16"/>
      <c r="G43" s="12">
        <v>1000</v>
      </c>
      <c r="H43" s="13"/>
      <c r="I43" s="13"/>
      <c r="J43" s="13"/>
    </row>
    <row r="45" spans="1:10" x14ac:dyDescent="0.35">
      <c r="A45" s="15" t="s">
        <v>155</v>
      </c>
      <c r="B45" s="16"/>
      <c r="C45" s="16"/>
      <c r="D45" s="16"/>
      <c r="E45" s="16"/>
      <c r="F45" s="16"/>
      <c r="G45" s="9">
        <v>4425.5600000000004</v>
      </c>
      <c r="H45" s="8"/>
      <c r="I45" s="8"/>
      <c r="J45" s="8"/>
    </row>
    <row r="47" spans="1:10" x14ac:dyDescent="0.35">
      <c r="A47" s="1" t="s">
        <v>582</v>
      </c>
    </row>
  </sheetData>
  <mergeCells count="10">
    <mergeCell ref="A1:J1"/>
    <mergeCell ref="A37:J37"/>
    <mergeCell ref="A19:F19"/>
    <mergeCell ref="A45:F45"/>
    <mergeCell ref="A21:J21"/>
    <mergeCell ref="A4:J4"/>
    <mergeCell ref="A35:F35"/>
    <mergeCell ref="A39:F39"/>
    <mergeCell ref="A41:J41"/>
    <mergeCell ref="A43:F4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53"/>
  <sheetViews>
    <sheetView workbookViewId="0">
      <selection sqref="A1:J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5" width="6" customWidth="1"/>
    <col min="6" max="6" width="13" customWidth="1"/>
    <col min="7" max="7" width="15" customWidth="1"/>
    <col min="8" max="9" width="12" customWidth="1"/>
    <col min="10" max="10" width="34" customWidth="1"/>
  </cols>
  <sheetData>
    <row r="1" spans="1:10" ht="17" x14ac:dyDescent="0.4">
      <c r="A1" s="18" t="s">
        <v>79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10" t="s">
        <v>583</v>
      </c>
      <c r="E2" t="s">
        <v>81</v>
      </c>
      <c r="G2" t="s">
        <v>584</v>
      </c>
      <c r="I2" t="s">
        <v>585</v>
      </c>
    </row>
    <row r="4" spans="1:10" x14ac:dyDescent="0.35">
      <c r="A4" s="20" t="s">
        <v>84</v>
      </c>
      <c r="B4" s="16"/>
      <c r="C4" s="16"/>
      <c r="D4" s="16"/>
      <c r="E4" s="16"/>
      <c r="F4" s="16"/>
      <c r="G4" s="16"/>
      <c r="H4" s="16"/>
      <c r="I4" s="16"/>
      <c r="J4" s="16"/>
    </row>
    <row r="5" spans="1:10" x14ac:dyDescent="0.35">
      <c r="A5" s="11" t="s">
        <v>2</v>
      </c>
      <c r="B5" s="11" t="s">
        <v>85</v>
      </c>
      <c r="C5" s="11" t="s">
        <v>86</v>
      </c>
      <c r="D5" s="11" t="s">
        <v>87</v>
      </c>
      <c r="E5" s="11" t="s">
        <v>88</v>
      </c>
      <c r="F5" s="11" t="s">
        <v>89</v>
      </c>
      <c r="G5" s="11" t="s">
        <v>90</v>
      </c>
      <c r="H5" s="11" t="s">
        <v>91</v>
      </c>
      <c r="I5" s="11" t="s">
        <v>92</v>
      </c>
      <c r="J5" s="11" t="s">
        <v>93</v>
      </c>
    </row>
    <row r="6" spans="1:10" x14ac:dyDescent="0.35">
      <c r="A6" s="5">
        <v>1</v>
      </c>
      <c r="B6" s="5" t="s">
        <v>586</v>
      </c>
      <c r="C6" s="5"/>
      <c r="D6" s="5" t="s">
        <v>99</v>
      </c>
      <c r="E6" s="5">
        <v>1</v>
      </c>
      <c r="F6" s="6">
        <v>31.47</v>
      </c>
      <c r="G6" s="6">
        <v>31.47</v>
      </c>
      <c r="H6" s="5"/>
      <c r="I6" s="5"/>
      <c r="J6" s="5" t="s">
        <v>587</v>
      </c>
    </row>
    <row r="7" spans="1:10" x14ac:dyDescent="0.35">
      <c r="A7" s="5">
        <v>2</v>
      </c>
      <c r="B7" s="5" t="s">
        <v>588</v>
      </c>
      <c r="C7" s="5"/>
      <c r="D7" s="5" t="s">
        <v>99</v>
      </c>
      <c r="E7" s="5">
        <v>2</v>
      </c>
      <c r="F7" s="6">
        <v>37.950000000000003</v>
      </c>
      <c r="G7" s="6">
        <v>75.900000000000006</v>
      </c>
      <c r="H7" s="5"/>
      <c r="I7" s="5"/>
      <c r="J7" s="5" t="s">
        <v>587</v>
      </c>
    </row>
    <row r="8" spans="1:10" x14ac:dyDescent="0.35">
      <c r="A8" s="5">
        <v>3</v>
      </c>
      <c r="B8" s="5" t="s">
        <v>482</v>
      </c>
      <c r="C8" s="5"/>
      <c r="D8" s="5" t="s">
        <v>99</v>
      </c>
      <c r="E8" s="5">
        <v>15</v>
      </c>
      <c r="F8" s="6">
        <v>14</v>
      </c>
      <c r="G8" s="6">
        <v>210</v>
      </c>
      <c r="H8" s="5"/>
      <c r="I8" s="5"/>
      <c r="J8" s="5" t="s">
        <v>587</v>
      </c>
    </row>
    <row r="9" spans="1:10" x14ac:dyDescent="0.35">
      <c r="A9" s="5">
        <v>4</v>
      </c>
      <c r="B9" s="5" t="s">
        <v>589</v>
      </c>
      <c r="C9" s="5"/>
      <c r="D9" s="5" t="s">
        <v>99</v>
      </c>
      <c r="E9" s="5">
        <v>1</v>
      </c>
      <c r="F9" s="6">
        <v>165</v>
      </c>
      <c r="G9" s="6">
        <v>165</v>
      </c>
      <c r="H9" s="5"/>
      <c r="I9" s="5"/>
      <c r="J9" s="5" t="s">
        <v>587</v>
      </c>
    </row>
    <row r="10" spans="1:10" x14ac:dyDescent="0.35">
      <c r="A10" s="5">
        <v>5</v>
      </c>
      <c r="B10" s="5" t="s">
        <v>590</v>
      </c>
      <c r="C10" s="5"/>
      <c r="D10" s="5" t="s">
        <v>99</v>
      </c>
      <c r="E10" s="5">
        <v>3</v>
      </c>
      <c r="F10" s="6">
        <v>91</v>
      </c>
      <c r="G10" s="6">
        <v>273</v>
      </c>
      <c r="H10" s="5"/>
      <c r="I10" s="5"/>
      <c r="J10" s="5" t="s">
        <v>587</v>
      </c>
    </row>
    <row r="11" spans="1:10" x14ac:dyDescent="0.35">
      <c r="A11" s="5">
        <v>6</v>
      </c>
      <c r="B11" s="5" t="s">
        <v>591</v>
      </c>
      <c r="C11" s="5"/>
      <c r="D11" s="5" t="s">
        <v>99</v>
      </c>
      <c r="E11" s="5">
        <v>1</v>
      </c>
      <c r="F11" s="6">
        <v>750</v>
      </c>
      <c r="G11" s="6">
        <v>750</v>
      </c>
      <c r="H11" s="5"/>
      <c r="I11" s="5"/>
      <c r="J11" s="5" t="s">
        <v>587</v>
      </c>
    </row>
    <row r="12" spans="1:10" x14ac:dyDescent="0.35">
      <c r="A12" s="5">
        <v>7</v>
      </c>
      <c r="B12" s="5" t="s">
        <v>592</v>
      </c>
      <c r="C12" s="5"/>
      <c r="D12" s="5" t="s">
        <v>99</v>
      </c>
      <c r="E12" s="5">
        <v>1</v>
      </c>
      <c r="F12" s="6">
        <v>150</v>
      </c>
      <c r="G12" s="6">
        <v>150</v>
      </c>
      <c r="H12" s="5"/>
      <c r="I12" s="5"/>
      <c r="J12" s="5" t="s">
        <v>587</v>
      </c>
    </row>
    <row r="13" spans="1:10" x14ac:dyDescent="0.35">
      <c r="A13" s="5">
        <v>8</v>
      </c>
      <c r="B13" s="5" t="s">
        <v>140</v>
      </c>
      <c r="C13" s="5"/>
      <c r="D13" s="5" t="s">
        <v>99</v>
      </c>
      <c r="E13" s="5">
        <v>1</v>
      </c>
      <c r="F13" s="6">
        <v>236.25</v>
      </c>
      <c r="G13" s="6">
        <v>236.25</v>
      </c>
      <c r="H13" s="5"/>
      <c r="I13" s="5"/>
      <c r="J13" s="5" t="s">
        <v>587</v>
      </c>
    </row>
    <row r="14" spans="1:10" x14ac:dyDescent="0.35">
      <c r="A14" s="5">
        <v>9</v>
      </c>
      <c r="B14" s="5" t="s">
        <v>593</v>
      </c>
      <c r="C14" s="5"/>
      <c r="D14" s="5" t="s">
        <v>99</v>
      </c>
      <c r="E14" s="5">
        <v>4</v>
      </c>
      <c r="F14" s="5" t="s">
        <v>594</v>
      </c>
      <c r="G14" s="6">
        <v>0</v>
      </c>
      <c r="H14" s="5"/>
      <c r="I14" s="5"/>
      <c r="J14" s="5" t="s">
        <v>587</v>
      </c>
    </row>
    <row r="15" spans="1:10" x14ac:dyDescent="0.35">
      <c r="A15" s="19" t="s">
        <v>95</v>
      </c>
      <c r="B15" s="16"/>
      <c r="C15" s="16"/>
      <c r="D15" s="16"/>
      <c r="E15" s="16"/>
      <c r="F15" s="16"/>
      <c r="G15" s="12">
        <v>1891.62</v>
      </c>
      <c r="H15" s="13"/>
      <c r="I15" s="12"/>
      <c r="J15" s="13"/>
    </row>
    <row r="17" spans="1:10" x14ac:dyDescent="0.35">
      <c r="A17" s="20" t="s">
        <v>96</v>
      </c>
      <c r="B17" s="16"/>
      <c r="C17" s="16"/>
      <c r="D17" s="16"/>
      <c r="E17" s="16"/>
      <c r="F17" s="16"/>
      <c r="G17" s="16"/>
      <c r="H17" s="16"/>
      <c r="I17" s="16"/>
      <c r="J17" s="16"/>
    </row>
    <row r="18" spans="1:10" x14ac:dyDescent="0.35">
      <c r="A18" s="11" t="s">
        <v>2</v>
      </c>
      <c r="B18" s="11" t="s">
        <v>85</v>
      </c>
      <c r="C18" s="11" t="s">
        <v>86</v>
      </c>
      <c r="D18" s="11" t="s">
        <v>87</v>
      </c>
      <c r="E18" s="11" t="s">
        <v>88</v>
      </c>
      <c r="F18" s="11" t="s">
        <v>89</v>
      </c>
      <c r="G18" s="11" t="s">
        <v>90</v>
      </c>
      <c r="H18" s="11" t="s">
        <v>91</v>
      </c>
      <c r="I18" s="11" t="s">
        <v>92</v>
      </c>
      <c r="J18" s="11" t="s">
        <v>93</v>
      </c>
    </row>
    <row r="19" spans="1:10" x14ac:dyDescent="0.35">
      <c r="A19" s="5">
        <v>1</v>
      </c>
      <c r="B19" s="5" t="s">
        <v>595</v>
      </c>
      <c r="C19" s="5"/>
      <c r="D19" s="5" t="s">
        <v>99</v>
      </c>
      <c r="E19" s="5">
        <v>7</v>
      </c>
      <c r="F19" s="6">
        <v>39.049999999999997</v>
      </c>
      <c r="G19" s="6">
        <v>273.35000000000002</v>
      </c>
      <c r="H19" s="5"/>
      <c r="I19" s="5"/>
      <c r="J19" s="5" t="s">
        <v>587</v>
      </c>
    </row>
    <row r="20" spans="1:10" x14ac:dyDescent="0.35">
      <c r="A20" s="5">
        <v>2</v>
      </c>
      <c r="B20" s="5" t="s">
        <v>596</v>
      </c>
      <c r="C20" s="5"/>
      <c r="D20" s="5" t="s">
        <v>99</v>
      </c>
      <c r="E20" s="5">
        <v>3</v>
      </c>
      <c r="F20" s="6">
        <v>66.64</v>
      </c>
      <c r="G20" s="6">
        <v>199.92</v>
      </c>
      <c r="H20" s="5"/>
      <c r="I20" s="5"/>
      <c r="J20" s="5" t="s">
        <v>587</v>
      </c>
    </row>
    <row r="21" spans="1:10" x14ac:dyDescent="0.35">
      <c r="A21" s="5">
        <v>3</v>
      </c>
      <c r="B21" s="5" t="s">
        <v>597</v>
      </c>
      <c r="C21" s="5"/>
      <c r="D21" s="5" t="s">
        <v>99</v>
      </c>
      <c r="E21" s="5">
        <v>2</v>
      </c>
      <c r="F21" s="6">
        <v>7.48</v>
      </c>
      <c r="G21" s="6">
        <v>14.96</v>
      </c>
      <c r="H21" s="5"/>
      <c r="I21" s="5"/>
      <c r="J21" s="5" t="s">
        <v>587</v>
      </c>
    </row>
    <row r="22" spans="1:10" x14ac:dyDescent="0.35">
      <c r="A22" s="5">
        <v>4</v>
      </c>
      <c r="B22" s="5" t="s">
        <v>439</v>
      </c>
      <c r="C22" s="5"/>
      <c r="D22" s="5" t="s">
        <v>99</v>
      </c>
      <c r="E22" s="5">
        <v>3</v>
      </c>
      <c r="F22" s="6">
        <v>3.24</v>
      </c>
      <c r="G22" s="6">
        <v>9.7200000000000006</v>
      </c>
      <c r="H22" s="5"/>
      <c r="I22" s="5"/>
      <c r="J22" s="5" t="s">
        <v>587</v>
      </c>
    </row>
    <row r="23" spans="1:10" x14ac:dyDescent="0.35">
      <c r="A23" s="5">
        <v>5</v>
      </c>
      <c r="B23" s="5" t="s">
        <v>598</v>
      </c>
      <c r="C23" s="5"/>
      <c r="D23" s="5" t="s">
        <v>99</v>
      </c>
      <c r="E23" s="5">
        <v>1</v>
      </c>
      <c r="F23" s="6">
        <v>201</v>
      </c>
      <c r="G23" s="6">
        <v>201</v>
      </c>
      <c r="H23" s="5"/>
      <c r="I23" s="5"/>
      <c r="J23" s="5" t="s">
        <v>587</v>
      </c>
    </row>
    <row r="24" spans="1:10" x14ac:dyDescent="0.35">
      <c r="A24" s="5">
        <v>6</v>
      </c>
      <c r="B24" s="5" t="s">
        <v>599</v>
      </c>
      <c r="C24" s="5"/>
      <c r="D24" s="5" t="s">
        <v>99</v>
      </c>
      <c r="E24" s="5">
        <v>2</v>
      </c>
      <c r="F24" s="6">
        <v>202.55</v>
      </c>
      <c r="G24" s="6">
        <v>405.1</v>
      </c>
      <c r="H24" s="5"/>
      <c r="I24" s="5"/>
      <c r="J24" s="5" t="s">
        <v>587</v>
      </c>
    </row>
    <row r="25" spans="1:10" x14ac:dyDescent="0.35">
      <c r="A25" s="5">
        <v>7</v>
      </c>
      <c r="B25" s="5" t="s">
        <v>600</v>
      </c>
      <c r="C25" s="5"/>
      <c r="D25" s="5" t="s">
        <v>99</v>
      </c>
      <c r="E25" s="5">
        <v>1</v>
      </c>
      <c r="F25" s="6">
        <v>5</v>
      </c>
      <c r="G25" s="6">
        <v>5</v>
      </c>
      <c r="H25" s="5"/>
      <c r="I25" s="5"/>
      <c r="J25" s="5" t="s">
        <v>587</v>
      </c>
    </row>
    <row r="26" spans="1:10" x14ac:dyDescent="0.35">
      <c r="A26" s="5">
        <v>8</v>
      </c>
      <c r="B26" s="5" t="s">
        <v>298</v>
      </c>
      <c r="C26" s="5"/>
      <c r="D26" s="5" t="s">
        <v>99</v>
      </c>
      <c r="E26" s="5">
        <v>4</v>
      </c>
      <c r="F26" s="6">
        <v>20</v>
      </c>
      <c r="G26" s="6">
        <v>80</v>
      </c>
      <c r="H26" s="5"/>
      <c r="I26" s="5"/>
      <c r="J26" s="5" t="s">
        <v>587</v>
      </c>
    </row>
    <row r="27" spans="1:10" x14ac:dyDescent="0.35">
      <c r="A27" s="5">
        <v>9</v>
      </c>
      <c r="B27" s="5" t="s">
        <v>296</v>
      </c>
      <c r="C27" s="5"/>
      <c r="D27" s="5" t="s">
        <v>99</v>
      </c>
      <c r="E27" s="5">
        <v>5</v>
      </c>
      <c r="F27" s="6">
        <v>10.23</v>
      </c>
      <c r="G27" s="6">
        <v>51.150000000000013</v>
      </c>
      <c r="H27" s="5"/>
      <c r="I27" s="5"/>
      <c r="J27" s="5" t="s">
        <v>587</v>
      </c>
    </row>
    <row r="28" spans="1:10" x14ac:dyDescent="0.35">
      <c r="A28" s="5">
        <v>10</v>
      </c>
      <c r="B28" s="5" t="s">
        <v>300</v>
      </c>
      <c r="C28" s="5"/>
      <c r="D28" s="5" t="s">
        <v>99</v>
      </c>
      <c r="E28" s="5">
        <v>1</v>
      </c>
      <c r="F28" s="6">
        <v>6.04</v>
      </c>
      <c r="G28" s="6">
        <v>6.04</v>
      </c>
      <c r="H28" s="5"/>
      <c r="I28" s="5"/>
      <c r="J28" s="5" t="s">
        <v>587</v>
      </c>
    </row>
    <row r="29" spans="1:10" x14ac:dyDescent="0.35">
      <c r="A29" s="5">
        <v>11</v>
      </c>
      <c r="B29" s="5" t="s">
        <v>247</v>
      </c>
      <c r="C29" s="5"/>
      <c r="D29" s="5" t="s">
        <v>99</v>
      </c>
      <c r="E29" s="5">
        <v>1</v>
      </c>
      <c r="F29" s="6">
        <v>192.5</v>
      </c>
      <c r="G29" s="6">
        <v>192.5</v>
      </c>
      <c r="H29" s="5"/>
      <c r="I29" s="5"/>
      <c r="J29" s="5" t="s">
        <v>587</v>
      </c>
    </row>
    <row r="30" spans="1:10" x14ac:dyDescent="0.35">
      <c r="A30" s="5">
        <v>12</v>
      </c>
      <c r="B30" s="5" t="s">
        <v>601</v>
      </c>
      <c r="C30" s="5"/>
      <c r="D30" s="5" t="s">
        <v>99</v>
      </c>
      <c r="E30" s="5">
        <v>1</v>
      </c>
      <c r="F30" s="6">
        <v>361</v>
      </c>
      <c r="G30" s="6">
        <v>361</v>
      </c>
      <c r="H30" s="5"/>
      <c r="I30" s="5"/>
      <c r="J30" s="5" t="s">
        <v>587</v>
      </c>
    </row>
    <row r="31" spans="1:10" x14ac:dyDescent="0.35">
      <c r="A31" s="19" t="s">
        <v>143</v>
      </c>
      <c r="B31" s="16"/>
      <c r="C31" s="16"/>
      <c r="D31" s="16"/>
      <c r="E31" s="16"/>
      <c r="F31" s="16"/>
      <c r="G31" s="12">
        <v>1799.74</v>
      </c>
      <c r="H31" s="13"/>
      <c r="I31" s="12"/>
      <c r="J31" s="13"/>
    </row>
    <row r="33" spans="1:10" x14ac:dyDescent="0.35">
      <c r="A33" s="20" t="s">
        <v>144</v>
      </c>
      <c r="B33" s="16"/>
      <c r="C33" s="16"/>
      <c r="D33" s="16"/>
      <c r="E33" s="16"/>
      <c r="F33" s="16"/>
      <c r="G33" s="16"/>
      <c r="H33" s="16"/>
      <c r="I33" s="16"/>
      <c r="J33" s="16"/>
    </row>
    <row r="34" spans="1:10" x14ac:dyDescent="0.35">
      <c r="A34" s="5">
        <v>1</v>
      </c>
      <c r="B34" s="5" t="s">
        <v>145</v>
      </c>
      <c r="C34" s="5" t="s">
        <v>602</v>
      </c>
      <c r="D34" s="5" t="s">
        <v>147</v>
      </c>
      <c r="E34" s="5">
        <v>2</v>
      </c>
      <c r="F34" s="6">
        <v>3000</v>
      </c>
      <c r="G34" s="6">
        <v>6000</v>
      </c>
      <c r="H34" s="5" t="s">
        <v>148</v>
      </c>
      <c r="I34" s="5" t="s">
        <v>148</v>
      </c>
      <c r="J34" s="5" t="s">
        <v>149</v>
      </c>
    </row>
    <row r="35" spans="1:10" x14ac:dyDescent="0.35">
      <c r="A35" s="19" t="s">
        <v>150</v>
      </c>
      <c r="B35" s="16"/>
      <c r="C35" s="16"/>
      <c r="D35" s="16"/>
      <c r="E35" s="16"/>
      <c r="F35" s="16"/>
      <c r="G35" s="12">
        <v>6000</v>
      </c>
      <c r="H35" s="13"/>
      <c r="I35" s="13"/>
      <c r="J35" s="13"/>
    </row>
    <row r="37" spans="1:10" x14ac:dyDescent="0.35">
      <c r="A37" s="20" t="s">
        <v>151</v>
      </c>
      <c r="B37" s="16"/>
      <c r="C37" s="16"/>
      <c r="D37" s="16"/>
      <c r="E37" s="16"/>
      <c r="F37" s="16"/>
      <c r="G37" s="16"/>
      <c r="H37" s="16"/>
      <c r="I37" s="16"/>
      <c r="J37" s="16"/>
    </row>
    <row r="38" spans="1:10" x14ac:dyDescent="0.35">
      <c r="A38" s="5">
        <v>1</v>
      </c>
      <c r="B38" s="5" t="s">
        <v>152</v>
      </c>
      <c r="C38" s="5" t="s">
        <v>153</v>
      </c>
      <c r="D38" s="5" t="s">
        <v>148</v>
      </c>
      <c r="E38" s="5">
        <v>1</v>
      </c>
      <c r="F38" s="6">
        <v>7000</v>
      </c>
      <c r="G38" s="6">
        <v>7000</v>
      </c>
      <c r="H38" s="5" t="s">
        <v>148</v>
      </c>
      <c r="I38" s="5" t="s">
        <v>148</v>
      </c>
      <c r="J38" s="5" t="s">
        <v>149</v>
      </c>
    </row>
    <row r="39" spans="1:10" x14ac:dyDescent="0.35">
      <c r="A39" s="19" t="s">
        <v>154</v>
      </c>
      <c r="B39" s="16"/>
      <c r="C39" s="16"/>
      <c r="D39" s="16"/>
      <c r="E39" s="16"/>
      <c r="F39" s="16"/>
      <c r="G39" s="12">
        <v>7000</v>
      </c>
      <c r="H39" s="13"/>
      <c r="I39" s="13"/>
      <c r="J39" s="13"/>
    </row>
    <row r="41" spans="1:10" x14ac:dyDescent="0.35">
      <c r="A41" s="20" t="s">
        <v>603</v>
      </c>
      <c r="B41" s="16"/>
      <c r="C41" s="16"/>
      <c r="D41" s="16"/>
      <c r="E41" s="16"/>
      <c r="F41" s="16"/>
      <c r="G41" s="16"/>
      <c r="H41" s="16"/>
      <c r="I41" s="16"/>
      <c r="J41" s="16"/>
    </row>
    <row r="42" spans="1:10" x14ac:dyDescent="0.35">
      <c r="A42" s="11" t="s">
        <v>2</v>
      </c>
      <c r="B42" s="11" t="s">
        <v>85</v>
      </c>
      <c r="C42" s="11" t="s">
        <v>86</v>
      </c>
      <c r="D42" s="11" t="s">
        <v>87</v>
      </c>
      <c r="E42" s="11" t="s">
        <v>88</v>
      </c>
      <c r="F42" s="11" t="s">
        <v>89</v>
      </c>
      <c r="G42" s="11" t="s">
        <v>90</v>
      </c>
      <c r="H42" s="11" t="s">
        <v>91</v>
      </c>
      <c r="I42" s="11" t="s">
        <v>92</v>
      </c>
      <c r="J42" s="11" t="s">
        <v>93</v>
      </c>
    </row>
    <row r="43" spans="1:10" x14ac:dyDescent="0.35">
      <c r="A43" s="5">
        <v>1</v>
      </c>
      <c r="B43" s="5" t="s">
        <v>604</v>
      </c>
      <c r="C43" s="5"/>
      <c r="D43" s="5" t="s">
        <v>99</v>
      </c>
      <c r="E43" s="5">
        <v>1</v>
      </c>
      <c r="F43" s="6">
        <v>20000</v>
      </c>
      <c r="G43" s="6">
        <v>20000</v>
      </c>
      <c r="H43" s="5"/>
      <c r="I43" s="5"/>
      <c r="J43" s="5" t="s">
        <v>587</v>
      </c>
    </row>
    <row r="44" spans="1:10" x14ac:dyDescent="0.35">
      <c r="A44" s="5">
        <v>2</v>
      </c>
      <c r="B44" s="5" t="s">
        <v>605</v>
      </c>
      <c r="C44" s="5"/>
      <c r="D44" s="5" t="s">
        <v>99</v>
      </c>
      <c r="E44" s="5">
        <v>1</v>
      </c>
      <c r="F44" s="6">
        <v>6000</v>
      </c>
      <c r="G44" s="6">
        <v>6000</v>
      </c>
      <c r="H44" s="5"/>
      <c r="I44" s="5"/>
      <c r="J44" s="5" t="s">
        <v>587</v>
      </c>
    </row>
    <row r="45" spans="1:10" x14ac:dyDescent="0.35">
      <c r="A45" s="5">
        <v>3</v>
      </c>
      <c r="B45" s="5" t="s">
        <v>606</v>
      </c>
      <c r="C45" s="5"/>
      <c r="D45" s="5" t="s">
        <v>99</v>
      </c>
      <c r="E45" s="5">
        <v>1</v>
      </c>
      <c r="F45" s="6">
        <v>785</v>
      </c>
      <c r="G45" s="6">
        <v>785</v>
      </c>
      <c r="H45" s="5"/>
      <c r="I45" s="5"/>
      <c r="J45" s="5" t="s">
        <v>587</v>
      </c>
    </row>
    <row r="46" spans="1:10" x14ac:dyDescent="0.35">
      <c r="A46" s="5">
        <v>4</v>
      </c>
      <c r="B46" s="5" t="s">
        <v>607</v>
      </c>
      <c r="C46" s="5"/>
      <c r="D46" s="5" t="s">
        <v>99</v>
      </c>
      <c r="E46" s="5">
        <v>1</v>
      </c>
      <c r="F46" s="5" t="s">
        <v>594</v>
      </c>
      <c r="G46" s="6">
        <v>0</v>
      </c>
      <c r="H46" s="5"/>
      <c r="I46" s="5"/>
      <c r="J46" s="5" t="s">
        <v>587</v>
      </c>
    </row>
    <row r="47" spans="1:10" x14ac:dyDescent="0.35">
      <c r="A47" s="5">
        <v>5</v>
      </c>
      <c r="B47" s="5" t="s">
        <v>608</v>
      </c>
      <c r="C47" s="5"/>
      <c r="D47" s="5" t="s">
        <v>99</v>
      </c>
      <c r="E47" s="5">
        <v>1</v>
      </c>
      <c r="F47" s="5" t="s">
        <v>594</v>
      </c>
      <c r="G47" s="6">
        <v>0</v>
      </c>
      <c r="H47" s="5"/>
      <c r="I47" s="5"/>
      <c r="J47" s="5" t="s">
        <v>587</v>
      </c>
    </row>
    <row r="48" spans="1:10" x14ac:dyDescent="0.35">
      <c r="A48" s="19" t="s">
        <v>609</v>
      </c>
      <c r="B48" s="16"/>
      <c r="C48" s="16"/>
      <c r="D48" s="16"/>
      <c r="E48" s="16"/>
      <c r="F48" s="16"/>
      <c r="G48" s="12">
        <v>26785</v>
      </c>
      <c r="H48" s="13"/>
      <c r="I48" s="13"/>
      <c r="J48" s="13"/>
    </row>
    <row r="50" spans="1:10" x14ac:dyDescent="0.35">
      <c r="A50" s="15" t="s">
        <v>155</v>
      </c>
      <c r="B50" s="16"/>
      <c r="C50" s="16"/>
      <c r="D50" s="16"/>
      <c r="E50" s="16"/>
      <c r="F50" s="16"/>
      <c r="G50" s="9">
        <v>43476.36</v>
      </c>
      <c r="H50" s="8"/>
      <c r="I50" s="8"/>
      <c r="J50" s="8"/>
    </row>
    <row r="52" spans="1:10" x14ac:dyDescent="0.35">
      <c r="A52" s="1" t="s">
        <v>212</v>
      </c>
    </row>
    <row r="53" spans="1:10" x14ac:dyDescent="0.35">
      <c r="A53" s="14" t="s">
        <v>610</v>
      </c>
    </row>
  </sheetData>
  <mergeCells count="12">
    <mergeCell ref="A1:J1"/>
    <mergeCell ref="A37:J37"/>
    <mergeCell ref="A17:J17"/>
    <mergeCell ref="A31:F31"/>
    <mergeCell ref="A4:J4"/>
    <mergeCell ref="A35:F35"/>
    <mergeCell ref="A50:F50"/>
    <mergeCell ref="A48:F48"/>
    <mergeCell ref="A39:F39"/>
    <mergeCell ref="A15:F15"/>
    <mergeCell ref="A41:J41"/>
    <mergeCell ref="A33:J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FINAL SUMMARY</vt:lpstr>
      <vt:lpstr>Suhana Khatun</vt:lpstr>
      <vt:lpstr>Soumen Banerjee</vt:lpstr>
      <vt:lpstr>Sahid Ali Joddar</vt:lpstr>
      <vt:lpstr>Sudipta Bisai</vt:lpstr>
      <vt:lpstr>Chintapalli Vishal Ratlam</vt:lpstr>
      <vt:lpstr>Asish Chaudhary</vt:lpstr>
      <vt:lpstr>Sahinara Begam</vt:lpstr>
      <vt:lpstr>Siuli Biswas</vt:lpstr>
      <vt:lpstr>Babita Barman</vt:lpstr>
      <vt:lpstr>Mona Chakraborty</vt:lpstr>
      <vt:lpstr>Rahul Das</vt:lpstr>
      <vt:lpstr>Mohammedal Hasina</vt:lpstr>
      <vt:lpstr>Sahinara Begam-2</vt:lpstr>
      <vt:lpstr>Debdatta Sarkar</vt:lpstr>
      <vt:lpstr>Ishita Peri</vt:lpstr>
      <vt:lpstr>Prabir Kumar Paul</vt:lpstr>
      <vt:lpstr>Sopna</vt:lpstr>
      <vt:lpstr>Shankari Chakraborty</vt:lpstr>
      <vt:lpstr>Kalipada Mondal</vt:lpstr>
      <vt:lpstr>Ripusudan Sankar</vt:lpstr>
      <vt:lpstr>Sahid Ali Joddar (Jun)</vt:lpstr>
      <vt:lpstr>Khogen Naskar</vt:lpstr>
      <vt:lpstr>Rahima Bibi Malla</vt:lpstr>
      <vt:lpstr>Shyamal Santra</vt:lpstr>
      <vt:lpstr>Md. Saiful Islam</vt:lpstr>
      <vt:lpstr>Depanita Sankar</vt:lpstr>
      <vt:lpstr>MD Molla</vt:lpstr>
      <vt:lpstr>Rachel Hira</vt:lpstr>
      <vt:lpstr>Raju Mondal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2026-07-02T11:54:48Z</dcterms:created>
  <dcterms:modified xsi:type="dcterms:W3CDTF">2026-07-08T12:32:37Z</dcterms:modified>
</cp:coreProperties>
</file>