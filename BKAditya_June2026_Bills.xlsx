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 &amp; SUMMARY" sheetId="1" state="visible" r:id="rId1"/>
    <sheet name="Pt28" sheetId="2" state="visible" r:id="rId2"/>
    <sheet name="Pt29" sheetId="3" state="visible" r:id="rId3"/>
    <sheet name="Pt30" sheetId="4" state="visible" r:id="rId4"/>
    <sheet name="Pt31" sheetId="5" state="visible" r:id="rId5"/>
    <sheet name="Pt32" sheetId="6" state="visible" r:id="rId6"/>
    <sheet name="Pt33" sheetId="7" state="visible" r:id="rId7"/>
    <sheet name="Pt34" sheetId="8" state="visible" r:id="rId8"/>
    <sheet name="Pt35" sheetId="9" state="visible" r:id="rId9"/>
    <sheet name="Pt36" sheetId="10" state="visible" r:id="rId10"/>
    <sheet name="Pt37" sheetId="11" state="visible" r:id="rId11"/>
    <sheet name="Pt38" sheetId="12" state="visible" r:id="rId12"/>
    <sheet name="Pt39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000000"/>
      <sz val="11"/>
    </font>
    <font>
      <b val="1"/>
      <color rgb="00C00000"/>
      <sz val="13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  <font>
      <b val="1"/>
      <color rgb="00FFFFFF"/>
      <sz val="11"/>
    </font>
    <font>
      <b val="1"/>
      <color rgb="00FFFFFF"/>
      <sz val="13"/>
    </font>
    <font>
      <b val="1"/>
      <sz val="10"/>
    </font>
    <font>
      <sz val="10"/>
    </font>
    <font>
      <b val="1"/>
      <color rgb="00C00000"/>
      <sz val="12"/>
    </font>
    <font>
      <i val="1"/>
      <color rgb="00666666"/>
      <sz val="8"/>
    </font>
    <font>
      <b val="1"/>
      <color rgb="00FF0000"/>
      <sz val="10"/>
    </font>
    <font>
      <i val="1"/>
      <color rgb="00FF0000"/>
      <sz val="9"/>
    </font>
    <font>
      <b val="1"/>
      <sz val="11"/>
    </font>
    <font>
      <i val="1"/>
      <color rgb="000064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4" fontId="7" fillId="0" borderId="2" applyAlignment="1" pivotButton="0" quotePrefix="0" xfId="0">
      <alignment horizontal="left" vertical="center"/>
    </xf>
    <xf numFmtId="4" fontId="6" fillId="0" borderId="2" applyAlignment="1" pivotButton="0" quotePrefix="0" xfId="0">
      <alignment horizontal="left" vertical="center"/>
    </xf>
    <xf numFmtId="0" fontId="8" fillId="2" borderId="2" applyAlignment="1" pivotButton="0" quotePrefix="0" xfId="0">
      <alignment horizontal="center" vertical="center"/>
    </xf>
    <xf numFmtId="4" fontId="9" fillId="2" borderId="1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4" fontId="12" fillId="0" borderId="2" applyAlignment="1" pivotButton="0" quotePrefix="0" xfId="0">
      <alignment horizontal="right" vertical="center"/>
    </xf>
    <xf numFmtId="0" fontId="14" fillId="0" borderId="2" pivotButton="0" quotePrefix="0" xfId="0"/>
    <xf numFmtId="0" fontId="15" fillId="7" borderId="2" pivotButton="0" quotePrefix="0" xfId="0"/>
    <xf numFmtId="0" fontId="0" fillId="7" borderId="2" pivotButton="0" quotePrefix="0" xfId="0"/>
    <xf numFmtId="0" fontId="16" fillId="0" borderId="2" pivotButton="0" quotePrefix="0" xfId="0"/>
    <xf numFmtId="0" fontId="3" fillId="8" borderId="2" applyAlignment="1" pivotButton="0" quotePrefix="0" xfId="0">
      <alignment horizontal="right" vertical="center"/>
    </xf>
    <xf numFmtId="4" fontId="17" fillId="8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4" fontId="11" fillId="0" borderId="2" applyAlignment="1" pivotButton="0" quotePrefix="0" xfId="0">
      <alignment horizontal="right" vertical="center"/>
    </xf>
    <xf numFmtId="0" fontId="10" fillId="2" borderId="2" applyAlignment="1" pivotButton="0" quotePrefix="0" xfId="0">
      <alignment horizontal="center" vertical="center"/>
    </xf>
    <xf numFmtId="4" fontId="10" fillId="2" borderId="1" applyAlignment="1" pivotButton="0" quotePrefix="0" xfId="0">
      <alignment horizontal="right" vertical="center"/>
    </xf>
    <xf numFmtId="0" fontId="7" fillId="2" borderId="2" applyAlignment="1" pivotButton="0" quotePrefix="0" xfId="0">
      <alignment horizontal="left" vertical="center"/>
    </xf>
    <xf numFmtId="0" fontId="18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6" customWidth="1" min="4" max="4"/>
    <col width="30" customWidth="1" min="5" max="5"/>
    <col width="9" customWidth="1" min="6" max="6"/>
    <col width="7" customWidth="1" min="7" max="7"/>
    <col width="8" customWidth="1" min="8" max="8"/>
    <col width="16" customWidth="1" min="9" max="9"/>
    <col width="14" customWidth="1" min="10" max="10"/>
    <col width="14" customWidth="1" min="11" max="11"/>
    <col width="16" customWidth="1" min="12" max="12"/>
  </cols>
  <sheetData>
    <row r="1" ht="28" customHeight="1">
      <c r="A1" s="1" t="inlineStr">
        <is>
          <t>BK ADITYA MULTISPECIALTY HOSPITAL — JUNE 2026 BILLING SUMMARY</t>
        </is>
      </c>
    </row>
    <row r="3" ht="22" customHeight="1">
      <c r="A3" s="2" t="inlineStr">
        <is>
          <t>⚙  GLOBAL RATES — Edit these cells; all patient sheets update automatically</t>
        </is>
      </c>
    </row>
    <row r="4" ht="24" customHeight="1">
      <c r="A4" s="3" t="inlineStr">
        <is>
          <t>Bed Charge (₹ per day):</t>
        </is>
      </c>
      <c r="B4" s="4" t="n">
        <v>1000</v>
      </c>
    </row>
    <row r="5" ht="24" customHeight="1">
      <c r="A5" s="3" t="inlineStr">
        <is>
          <t>OT Charge (₹ per hour):</t>
        </is>
      </c>
      <c r="B5" s="4" t="n">
        <v>1000</v>
      </c>
    </row>
    <row r="7" ht="22" customHeight="1">
      <c r="A7" s="5" t="inlineStr">
        <is>
          <t>PATIENT SUMMARY — ALL 12 BILLS  •  JUNE 2026</t>
        </is>
      </c>
    </row>
    <row r="8" ht="18" customHeight="1">
      <c r="A8" s="6" t="inlineStr">
        <is>
          <t>Sl.</t>
        </is>
      </c>
      <c r="B8" s="6" t="inlineStr">
        <is>
          <t>Patient Name</t>
        </is>
      </c>
      <c r="C8" s="6" t="inlineStr">
        <is>
          <t>Date</t>
        </is>
      </c>
      <c r="D8" s="6" t="inlineStr">
        <is>
          <t>Doctor</t>
        </is>
      </c>
      <c r="E8" s="6" t="inlineStr">
        <is>
          <t>Procedure</t>
        </is>
      </c>
      <c r="F8" s="6" t="inlineStr">
        <is>
          <t>Anaes.</t>
        </is>
      </c>
      <c r="G8" s="6" t="inlineStr">
        <is>
          <t>OT Hrs</t>
        </is>
      </c>
      <c r="H8" s="6" t="inlineStr">
        <is>
          <t>Bed Days</t>
        </is>
      </c>
      <c r="I8" s="6" t="inlineStr">
        <is>
          <t>Consumables (₹)</t>
        </is>
      </c>
      <c r="J8" s="6" t="inlineStr">
        <is>
          <t>Bed Charge (₹)</t>
        </is>
      </c>
      <c r="K8" s="6" t="inlineStr">
        <is>
          <t>OT Charge (₹)</t>
        </is>
      </c>
      <c r="L8" s="6" t="inlineStr">
        <is>
          <t>GRAND TOTAL (₹)</t>
        </is>
      </c>
    </row>
    <row r="9" ht="30" customHeight="1">
      <c r="A9" s="7" t="n">
        <v>28</v>
      </c>
      <c r="B9" s="8" t="inlineStr">
        <is>
          <t>Prabir Kumar Paul</t>
        </is>
      </c>
      <c r="C9" s="7" t="inlineStr">
        <is>
          <t>02/06/2026</t>
        </is>
      </c>
      <c r="D9" s="8" t="inlineStr">
        <is>
          <t>Dr. S. Gupta</t>
        </is>
      </c>
      <c r="E9" s="9" t="inlineStr">
        <is>
          <t>Excision Biopsy</t>
        </is>
      </c>
      <c r="F9" s="7" t="inlineStr">
        <is>
          <t>Local</t>
        </is>
      </c>
      <c r="G9" s="7" t="n">
        <v>1</v>
      </c>
      <c r="H9" s="7" t="n">
        <v>1</v>
      </c>
      <c r="I9" s="10">
        <f>'Pt28'!E999</f>
        <v/>
      </c>
      <c r="J9" s="10">
        <f>'Pt28'!G997</f>
        <v/>
      </c>
      <c r="K9" s="10">
        <f>'Pt28'!G996</f>
        <v/>
      </c>
      <c r="L9" s="11">
        <f>'Pt28'!G995</f>
        <v/>
      </c>
    </row>
    <row r="10" ht="30" customHeight="1">
      <c r="A10" s="7" t="n">
        <v>29</v>
      </c>
      <c r="B10" s="8" t="inlineStr">
        <is>
          <t>Sopna</t>
        </is>
      </c>
      <c r="C10" s="7" t="inlineStr">
        <is>
          <t>08/06/2026</t>
        </is>
      </c>
      <c r="D10" s="8" t="inlineStr">
        <is>
          <t>Dr. S. Gupta</t>
        </is>
      </c>
      <c r="E10" s="9" t="inlineStr">
        <is>
          <t>PIRS Spine Surgery</t>
        </is>
      </c>
      <c r="F10" s="7" t="inlineStr">
        <is>
          <t>Spinal</t>
        </is>
      </c>
      <c r="G10" s="7" t="n">
        <v>4</v>
      </c>
      <c r="H10" s="7" t="n">
        <v>1</v>
      </c>
      <c r="I10" s="10">
        <f>'Pt29'!E999</f>
        <v/>
      </c>
      <c r="J10" s="10">
        <f>'Pt29'!G997</f>
        <v/>
      </c>
      <c r="K10" s="10">
        <f>'Pt29'!G996</f>
        <v/>
      </c>
      <c r="L10" s="11">
        <f>'Pt29'!G995</f>
        <v/>
      </c>
    </row>
    <row r="11" ht="30" customHeight="1">
      <c r="A11" s="7" t="n">
        <v>30</v>
      </c>
      <c r="B11" s="8" t="inlineStr">
        <is>
          <t>Shankari Chakraborty</t>
        </is>
      </c>
      <c r="C11" s="7" t="inlineStr">
        <is>
          <t>08/06/2026</t>
        </is>
      </c>
      <c r="D11" s="8" t="inlineStr">
        <is>
          <t>Dr. K. Digga</t>
        </is>
      </c>
      <c r="E11" s="9" t="inlineStr">
        <is>
          <t>Total Knee Replacement (TKR)</t>
        </is>
      </c>
      <c r="F11" s="7" t="inlineStr">
        <is>
          <t>Spinal</t>
        </is>
      </c>
      <c r="G11" s="7" t="n">
        <v>3</v>
      </c>
      <c r="H11" s="7" t="n">
        <v>6</v>
      </c>
      <c r="I11" s="10">
        <f>'Pt30'!E999</f>
        <v/>
      </c>
      <c r="J11" s="10">
        <f>'Pt30'!G997</f>
        <v/>
      </c>
      <c r="K11" s="10">
        <f>'Pt30'!G996</f>
        <v/>
      </c>
      <c r="L11" s="11">
        <f>'Pt30'!G995</f>
        <v/>
      </c>
    </row>
    <row r="12" ht="30" customHeight="1">
      <c r="A12" s="7" t="n">
        <v>31</v>
      </c>
      <c r="B12" s="8" t="inlineStr">
        <is>
          <t>Kalipada Mondal</t>
        </is>
      </c>
      <c r="C12" s="7" t="inlineStr">
        <is>
          <t>09/06/2026</t>
        </is>
      </c>
      <c r="D12" s="8" t="inlineStr">
        <is>
          <t>Dr. S. Gupta</t>
        </is>
      </c>
      <c r="E12" s="9" t="inlineStr">
        <is>
          <t>TURP</t>
        </is>
      </c>
      <c r="F12" s="7" t="inlineStr">
        <is>
          <t>Spinal</t>
        </is>
      </c>
      <c r="G12" s="7" t="n">
        <v>2</v>
      </c>
      <c r="H12" s="7" t="n">
        <v>1</v>
      </c>
      <c r="I12" s="10">
        <f>'Pt31'!E999</f>
        <v/>
      </c>
      <c r="J12" s="10">
        <f>'Pt31'!G997</f>
        <v/>
      </c>
      <c r="K12" s="10">
        <f>'Pt31'!G996</f>
        <v/>
      </c>
      <c r="L12" s="11">
        <f>'Pt31'!G995</f>
        <v/>
      </c>
    </row>
    <row r="13" ht="30" customHeight="1">
      <c r="A13" s="7" t="n">
        <v>32</v>
      </c>
      <c r="B13" s="8" t="inlineStr">
        <is>
          <t>Ripusudan Sankar</t>
        </is>
      </c>
      <c r="C13" s="7" t="inlineStr">
        <is>
          <t>09/06/2026</t>
        </is>
      </c>
      <c r="D13" s="8" t="inlineStr">
        <is>
          <t>Dr. S. Gupta</t>
        </is>
      </c>
      <c r="E13" s="9" t="inlineStr">
        <is>
          <t>Cystoscopy</t>
        </is>
      </c>
      <c r="F13" s="7" t="inlineStr">
        <is>
          <t>Spinal</t>
        </is>
      </c>
      <c r="G13" s="7" t="n">
        <v>2</v>
      </c>
      <c r="H13" s="7" t="n">
        <v>1</v>
      </c>
      <c r="I13" s="10">
        <f>'Pt32'!E999</f>
        <v/>
      </c>
      <c r="J13" s="10">
        <f>'Pt32'!G997</f>
        <v/>
      </c>
      <c r="K13" s="10">
        <f>'Pt32'!G996</f>
        <v/>
      </c>
      <c r="L13" s="11">
        <f>'Pt32'!G995</f>
        <v/>
      </c>
    </row>
    <row r="14" ht="30" customHeight="1">
      <c r="A14" s="7" t="n">
        <v>33</v>
      </c>
      <c r="B14" s="8" t="inlineStr">
        <is>
          <t>Sahid Ali Joddar</t>
        </is>
      </c>
      <c r="C14" s="7" t="inlineStr">
        <is>
          <t>12/06/2026</t>
        </is>
      </c>
      <c r="D14" s="8" t="inlineStr">
        <is>
          <t>Dr. S. Gupta</t>
        </is>
      </c>
      <c r="E14" s="9" t="inlineStr">
        <is>
          <t>TWA</t>
        </is>
      </c>
      <c r="F14" s="7" t="inlineStr">
        <is>
          <t>General</t>
        </is>
      </c>
      <c r="G14" s="7" t="n">
        <v>1</v>
      </c>
      <c r="H14" s="7" t="n">
        <v>1</v>
      </c>
      <c r="I14" s="10">
        <f>'Pt33'!E999</f>
        <v/>
      </c>
      <c r="J14" s="10">
        <f>'Pt33'!G997</f>
        <v/>
      </c>
      <c r="K14" s="10">
        <f>'Pt33'!G996</f>
        <v/>
      </c>
      <c r="L14" s="11">
        <f>'Pt33'!G995</f>
        <v/>
      </c>
    </row>
    <row r="15" ht="30" customHeight="1">
      <c r="A15" s="7" t="n">
        <v>34</v>
      </c>
      <c r="B15" s="8" t="inlineStr">
        <is>
          <t>Khogen Naskar</t>
        </is>
      </c>
      <c r="C15" s="7" t="inlineStr">
        <is>
          <t>12/06/2026</t>
        </is>
      </c>
      <c r="D15" s="8" t="inlineStr">
        <is>
          <t>Dr. S. Gupta</t>
        </is>
      </c>
      <c r="E15" s="9" t="inlineStr">
        <is>
          <t>Cystoscopy</t>
        </is>
      </c>
      <c r="F15" s="7" t="inlineStr">
        <is>
          <t>Spinal</t>
        </is>
      </c>
      <c r="G15" s="7" t="n">
        <v>1</v>
      </c>
      <c r="H15" s="7" t="n">
        <v>2</v>
      </c>
      <c r="I15" s="10">
        <f>'Pt34'!E999</f>
        <v/>
      </c>
      <c r="J15" s="10">
        <f>'Pt34'!G997</f>
        <v/>
      </c>
      <c r="K15" s="10">
        <f>'Pt34'!G996</f>
        <v/>
      </c>
      <c r="L15" s="11">
        <f>'Pt34'!G995</f>
        <v/>
      </c>
    </row>
    <row r="16" ht="30" customHeight="1">
      <c r="A16" s="7" t="n">
        <v>35</v>
      </c>
      <c r="B16" s="8" t="inlineStr">
        <is>
          <t>Rahima Bibi Malla</t>
        </is>
      </c>
      <c r="C16" s="7" t="inlineStr">
        <is>
          <t>15/06/2026</t>
        </is>
      </c>
      <c r="D16" s="8" t="inlineStr">
        <is>
          <t>Dr. S. Gupta</t>
        </is>
      </c>
      <c r="E16" s="9" t="inlineStr">
        <is>
          <t>STG (OT) + Ward</t>
        </is>
      </c>
      <c r="F16" s="7" t="inlineStr">
        <is>
          <t>Spinal</t>
        </is>
      </c>
      <c r="G16" s="7" t="n">
        <v>1</v>
      </c>
      <c r="H16" s="7" t="n">
        <v>1</v>
      </c>
      <c r="I16" s="10">
        <f>'Pt35'!E999</f>
        <v/>
      </c>
      <c r="J16" s="10">
        <f>'Pt35'!G997</f>
        <v/>
      </c>
      <c r="K16" s="10">
        <f>'Pt35'!G996</f>
        <v/>
      </c>
      <c r="L16" s="11">
        <f>'Pt35'!G995</f>
        <v/>
      </c>
    </row>
    <row r="17" ht="30" customHeight="1">
      <c r="A17" s="7" t="n">
        <v>36</v>
      </c>
      <c r="B17" s="8" t="inlineStr">
        <is>
          <t>Shyamal Santra</t>
        </is>
      </c>
      <c r="C17" s="7" t="inlineStr">
        <is>
          <t>16/06/2026</t>
        </is>
      </c>
      <c r="D17" s="8" t="inlineStr">
        <is>
          <t>Dr. S. Gupta</t>
        </is>
      </c>
      <c r="E17" s="9" t="inlineStr">
        <is>
          <t>TURP + Ward</t>
        </is>
      </c>
      <c r="F17" s="7" t="inlineStr">
        <is>
          <t>Spinal</t>
        </is>
      </c>
      <c r="G17" s="7" t="n">
        <v>2</v>
      </c>
      <c r="H17" s="7" t="n">
        <v>2</v>
      </c>
      <c r="I17" s="10">
        <f>'Pt36'!E999</f>
        <v/>
      </c>
      <c r="J17" s="10">
        <f>'Pt36'!G997</f>
        <v/>
      </c>
      <c r="K17" s="10">
        <f>'Pt36'!G996</f>
        <v/>
      </c>
      <c r="L17" s="11">
        <f>'Pt36'!G995</f>
        <v/>
      </c>
    </row>
    <row r="18" ht="30" customHeight="1">
      <c r="A18" s="7" t="n">
        <v>37</v>
      </c>
      <c r="B18" s="8" t="inlineStr">
        <is>
          <t>Md. Saiful Islam</t>
        </is>
      </c>
      <c r="C18" s="7" t="inlineStr">
        <is>
          <t>18/06/2026</t>
        </is>
      </c>
      <c r="D18" s="8" t="inlineStr">
        <is>
          <t>Dr. K. Digga</t>
        </is>
      </c>
      <c r="E18" s="9" t="inlineStr">
        <is>
          <t>Local OT + Ward</t>
        </is>
      </c>
      <c r="F18" s="7" t="inlineStr">
        <is>
          <t>Local</t>
        </is>
      </c>
      <c r="G18" s="7" t="n">
        <v>1</v>
      </c>
      <c r="H18" s="7" t="n">
        <v>1</v>
      </c>
      <c r="I18" s="10">
        <f>'Pt37'!E999</f>
        <v/>
      </c>
      <c r="J18" s="10">
        <f>'Pt37'!G997</f>
        <v/>
      </c>
      <c r="K18" s="10">
        <f>'Pt37'!G996</f>
        <v/>
      </c>
      <c r="L18" s="11">
        <f>'Pt37'!G995</f>
        <v/>
      </c>
    </row>
    <row r="19" ht="30" customHeight="1">
      <c r="A19" s="7" t="n">
        <v>38</v>
      </c>
      <c r="B19" s="8" t="inlineStr">
        <is>
          <t>Depanita Sankar</t>
        </is>
      </c>
      <c r="C19" s="7" t="inlineStr">
        <is>
          <t>21/06/2026</t>
        </is>
      </c>
      <c r="D19" s="8" t="inlineStr">
        <is>
          <t>Dr. K. Digga</t>
        </is>
      </c>
      <c r="E19" s="9" t="inlineStr">
        <is>
          <t>Rt Femur Fracture Fixation + Ward</t>
        </is>
      </c>
      <c r="F19" s="7" t="inlineStr">
        <is>
          <t>Spinal</t>
        </is>
      </c>
      <c r="G19" s="7" t="n">
        <v>2</v>
      </c>
      <c r="H19" s="7" t="n">
        <v>1</v>
      </c>
      <c r="I19" s="10">
        <f>'Pt38'!E999</f>
        <v/>
      </c>
      <c r="J19" s="10">
        <f>'Pt38'!G997</f>
        <v/>
      </c>
      <c r="K19" s="10">
        <f>'Pt38'!G996</f>
        <v/>
      </c>
      <c r="L19" s="11">
        <f>'Pt38'!G995</f>
        <v/>
      </c>
    </row>
    <row r="20" ht="30" customHeight="1">
      <c r="A20" s="7" t="n">
        <v>39</v>
      </c>
      <c r="B20" s="8" t="inlineStr">
        <is>
          <t>MD Molla</t>
        </is>
      </c>
      <c r="C20" s="7" t="inlineStr">
        <is>
          <t>22/06/2026</t>
        </is>
      </c>
      <c r="D20" s="8" t="inlineStr">
        <is>
          <t>Dr. K. Digga</t>
        </is>
      </c>
      <c r="E20" s="9" t="inlineStr">
        <is>
          <t>Block OT + Ward</t>
        </is>
      </c>
      <c r="F20" s="7" t="inlineStr">
        <is>
          <t>Spinal</t>
        </is>
      </c>
      <c r="G20" s="7" t="n">
        <v>1</v>
      </c>
      <c r="H20" s="7" t="n">
        <v>1</v>
      </c>
      <c r="I20" s="10">
        <f>'Pt39'!E999</f>
        <v/>
      </c>
      <c r="J20" s="10">
        <f>'Pt39'!G997</f>
        <v/>
      </c>
      <c r="K20" s="10">
        <f>'Pt39'!G996</f>
        <v/>
      </c>
      <c r="L20" s="11">
        <f>'Pt39'!G995</f>
        <v/>
      </c>
    </row>
    <row r="21" ht="24" customHeight="1">
      <c r="A21" s="12" t="inlineStr">
        <is>
          <t>GRAND TOTAL — ALL 12 PATIENTS</t>
        </is>
      </c>
      <c r="I21" s="13">
        <f>SUM(I9:I20)</f>
        <v/>
      </c>
      <c r="J21" s="13">
        <f>SUM(J9:J20)</f>
        <v/>
      </c>
      <c r="K21" s="13">
        <f>SUM(K9:K20)</f>
        <v/>
      </c>
      <c r="L21" s="13">
        <f>SUM(L9:L20)</f>
        <v/>
      </c>
    </row>
  </sheetData>
  <mergeCells count="4">
    <mergeCell ref="A21:H21"/>
    <mergeCell ref="A1:K1"/>
    <mergeCell ref="A7:K7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" customWidth="1" min="3" max="3"/>
    <col width="14" customWidth="1" min="4" max="4"/>
    <col width="14" customWidth="1" min="5" max="5"/>
    <col width="38" customWidth="1" min="6" max="6"/>
    <col width="1" customWidth="1" min="7" max="7"/>
  </cols>
  <sheetData>
    <row r="1" ht="26" customHeight="1">
      <c r="A1" s="14" t="inlineStr">
        <is>
          <t>BK ADITYA MULTISPECIALTY HOSPITAL — PATIENT BILL  #28</t>
        </is>
      </c>
    </row>
    <row r="2">
      <c r="A2" s="15" t="inlineStr">
        <is>
          <t>Patient Name</t>
        </is>
      </c>
      <c r="B2" s="16" t="inlineStr">
        <is>
          <t>Prabir Kumar Paul</t>
        </is>
      </c>
    </row>
    <row r="3">
      <c r="A3" s="15" t="inlineStr">
        <is>
          <t>Date</t>
        </is>
      </c>
      <c r="B3" s="17" t="inlineStr">
        <is>
          <t>02/06/2026</t>
        </is>
      </c>
    </row>
    <row r="4">
      <c r="A4" s="15" t="inlineStr">
        <is>
          <t>Doctor</t>
        </is>
      </c>
      <c r="B4" s="17" t="inlineStr">
        <is>
          <t>Dr. S. Gupta</t>
        </is>
      </c>
    </row>
    <row r="5">
      <c r="A5" s="15" t="inlineStr">
        <is>
          <t>Procedure</t>
        </is>
      </c>
      <c r="B5" s="16" t="inlineStr">
        <is>
          <t>Excision Biopsy</t>
        </is>
      </c>
    </row>
    <row r="6">
      <c r="A6" s="15" t="inlineStr">
        <is>
          <t>Anaesthesia</t>
        </is>
      </c>
      <c r="B6" s="17" t="inlineStr">
        <is>
          <t>Local</t>
        </is>
      </c>
    </row>
    <row r="7">
      <c r="A7" s="15" t="inlineStr">
        <is>
          <t>OT Hours</t>
        </is>
      </c>
      <c r="B7" s="18" t="n">
        <v>1</v>
      </c>
    </row>
    <row r="8">
      <c r="A8" s="15" t="inlineStr">
        <is>
          <t>Bed Days</t>
        </is>
      </c>
      <c r="B8" s="18" t="n">
        <v>1</v>
      </c>
    </row>
    <row r="10" ht="20" customHeight="1">
      <c r="A10" s="19" t="inlineStr">
        <is>
          <t>A.  CONSUMABLES / MEDICINES</t>
        </is>
      </c>
    </row>
    <row r="11" ht="18" customHeight="1">
      <c r="A11" s="6" t="inlineStr">
        <is>
          <t>#</t>
        </is>
      </c>
      <c r="B11" s="6" t="inlineStr">
        <is>
          <t>Item Description</t>
        </is>
      </c>
      <c r="C11" s="6" t="inlineStr">
        <is>
          <t>Qty</t>
        </is>
      </c>
      <c r="D11" s="6" t="inlineStr">
        <is>
          <t>Rate (MRP ₹)</t>
        </is>
      </c>
      <c r="E11" s="6" t="inlineStr">
        <is>
          <t>Amount (₹)</t>
        </is>
      </c>
      <c r="F11" s="6" t="inlineStr">
        <is>
          <t>Notes</t>
        </is>
      </c>
    </row>
    <row r="12" ht="18" customHeight="1">
      <c r="A12" s="7" t="n">
        <v>1</v>
      </c>
      <c r="B12" s="9" t="inlineStr">
        <is>
          <t>Inj. Xone 1g (Ceftriaxone)</t>
        </is>
      </c>
      <c r="C12" s="20" t="n">
        <v>1</v>
      </c>
      <c r="D12" s="21" t="n">
        <v>66.64</v>
      </c>
      <c r="E12" s="21">
        <f>C12*D12</f>
        <v/>
      </c>
      <c r="F12" s="22" t="inlineStr">
        <is>
          <t>SL16 / Inj. Xone/Monocef 1g (Ceftriaxone)</t>
        </is>
      </c>
    </row>
    <row r="13" ht="18" customHeight="1">
      <c r="A13" s="7" t="n">
        <v>2</v>
      </c>
      <c r="B13" s="9" t="inlineStr">
        <is>
          <t>IV Cannula 18G</t>
        </is>
      </c>
      <c r="C13" s="20" t="n">
        <v>1</v>
      </c>
      <c r="D13" s="21" t="n">
        <v>321</v>
      </c>
      <c r="E13" s="21">
        <f>C13*D13</f>
        <v/>
      </c>
      <c r="F13" s="22" t="inlineStr">
        <is>
          <t>SL47 / IV Cannula 18G / Venflon 18G</t>
        </is>
      </c>
    </row>
    <row r="14" ht="18" customHeight="1">
      <c r="A14" s="7" t="n">
        <v>3</v>
      </c>
      <c r="B14" s="9" t="inlineStr">
        <is>
          <t>IV Cannula 20G</t>
        </is>
      </c>
      <c r="C14" s="20" t="n">
        <v>1</v>
      </c>
      <c r="D14" s="21" t="n">
        <v>202.55</v>
      </c>
      <c r="E14" s="21">
        <f>C14*D14</f>
        <v/>
      </c>
      <c r="F14" s="22" t="inlineStr">
        <is>
          <t>SL45 / IV Cannula 20G / Venflon 20G</t>
        </is>
      </c>
    </row>
    <row r="15" ht="18" customHeight="1">
      <c r="A15" s="7" t="n">
        <v>4</v>
      </c>
      <c r="B15" s="9" t="inlineStr">
        <is>
          <t>Easyfix</t>
        </is>
      </c>
      <c r="C15" s="20" t="n">
        <v>1</v>
      </c>
      <c r="D15" s="21" t="n">
        <v>900</v>
      </c>
      <c r="E15" s="21">
        <f>C15*D15</f>
        <v/>
      </c>
      <c r="F15" s="22" t="inlineStr">
        <is>
          <t>SL48 / Easyfix (Adhesive Film Dressing)</t>
        </is>
      </c>
    </row>
    <row r="16" ht="18" customHeight="1">
      <c r="A16" s="7" t="n">
        <v>5</v>
      </c>
      <c r="B16" s="9" t="inlineStr">
        <is>
          <t>D. Water 10ml (Sterile)</t>
        </is>
      </c>
      <c r="C16" s="20" t="n">
        <v>3</v>
      </c>
      <c r="D16" s="21" t="n">
        <v>3.24</v>
      </c>
      <c r="E16" s="21">
        <f>C16*D16</f>
        <v/>
      </c>
      <c r="F16" s="22" t="inlineStr">
        <is>
          <t>SL59 / D. Water 10ml (Sterile Water)</t>
        </is>
      </c>
    </row>
    <row r="17" ht="18" customHeight="1">
      <c r="A17" s="7" t="n">
        <v>6</v>
      </c>
      <c r="B17" s="9" t="inlineStr">
        <is>
          <t>Syringe 10ml</t>
        </is>
      </c>
      <c r="C17" s="20" t="n">
        <v>2</v>
      </c>
      <c r="D17" s="21" t="n">
        <v>20</v>
      </c>
      <c r="E17" s="21">
        <f>C17*D17</f>
        <v/>
      </c>
      <c r="F17" s="22" t="inlineStr">
        <is>
          <t>SL56 / Syringe 10cc / 10ml</t>
        </is>
      </c>
    </row>
    <row r="18" ht="18" customHeight="1">
      <c r="A18" s="7" t="n">
        <v>7</v>
      </c>
      <c r="B18" s="9" t="inlineStr">
        <is>
          <t>Syringe 5ml</t>
        </is>
      </c>
      <c r="C18" s="20" t="n">
        <v>1</v>
      </c>
      <c r="D18" s="21" t="n">
        <v>10.23</v>
      </c>
      <c r="E18" s="21">
        <f>C18*D18</f>
        <v/>
      </c>
      <c r="F18" s="22" t="inlineStr">
        <is>
          <t>SL57 / Syringe 5cc / 5ml</t>
        </is>
      </c>
    </row>
    <row r="19" ht="18" customHeight="1">
      <c r="A19" s="7" t="n">
        <v>8</v>
      </c>
      <c r="B19" s="9" t="inlineStr">
        <is>
          <t>Inj. Ondem (Ondansetron)</t>
        </is>
      </c>
      <c r="C19" s="20" t="n">
        <v>1</v>
      </c>
      <c r="D19" s="21" t="n">
        <v>12.72</v>
      </c>
      <c r="E19" s="21">
        <f>C19*D19</f>
        <v/>
      </c>
      <c r="F19" s="22" t="inlineStr">
        <is>
          <t>SL29 / Inj. Ondem/Zofer/Zofar (Ondansetron</t>
        </is>
      </c>
    </row>
    <row r="20" ht="18" customHeight="1">
      <c r="A20" s="7" t="n">
        <v>9</v>
      </c>
      <c r="B20" s="9" t="inlineStr">
        <is>
          <t>Needles 26G</t>
        </is>
      </c>
      <c r="C20" s="20" t="n">
        <v>2</v>
      </c>
      <c r="D20" s="23" t="inlineStr">
        <is>
          <t>⚠ ENTER MRP</t>
        </is>
      </c>
      <c r="E20" s="24" t="n">
        <v>0</v>
      </c>
      <c r="F20" s="25" t="inlineStr">
        <is>
          <t>SL60 — MRP missing, enter manually</t>
        </is>
      </c>
    </row>
    <row r="21" ht="18" customHeight="1">
      <c r="A21" s="7" t="n">
        <v>10</v>
      </c>
      <c r="B21" s="9" t="inlineStr">
        <is>
          <t>Betadine Lotion 100ml</t>
        </is>
      </c>
      <c r="C21" s="20" t="n">
        <v>1</v>
      </c>
      <c r="D21" s="21" t="n">
        <v>236.25</v>
      </c>
      <c r="E21" s="21">
        <f>C21*D21</f>
        <v/>
      </c>
      <c r="F21" s="22" t="inlineStr">
        <is>
          <t>SL69 / Betadine Lotion 100ml</t>
        </is>
      </c>
    </row>
    <row r="22" ht="18" customHeight="1">
      <c r="A22" s="7" t="n">
        <v>11</v>
      </c>
      <c r="B22" s="9" t="inlineStr">
        <is>
          <t>Plain Sheet (OT)</t>
        </is>
      </c>
      <c r="C22" s="20" t="n">
        <v>1</v>
      </c>
      <c r="D22" s="21" t="n">
        <v>200</v>
      </c>
      <c r="E22" s="21">
        <f>C22*D22</f>
        <v/>
      </c>
      <c r="F22" s="22" t="inlineStr">
        <is>
          <t>SL83 / Plain Sheet (OT Draping)</t>
        </is>
      </c>
    </row>
    <row r="23" ht="22" customHeight="1">
      <c r="A23" s="26" t="inlineStr">
        <is>
          <t>Consumables Sub-Total</t>
        </is>
      </c>
      <c r="E23" s="27">
        <f>SUMIF(E12:E22,"&gt;0",E12:E22)</f>
        <v/>
      </c>
      <c r="F23" s="25" t="inlineStr">
        <is>
          <t>⚠ 1 item(s) need MRP — total partial</t>
        </is>
      </c>
    </row>
    <row r="25" ht="20" customHeight="1">
      <c r="A25" s="19" t="inlineStr">
        <is>
          <t>B.  BED CHARGES  +  C.  OT CHARGES</t>
        </is>
      </c>
    </row>
    <row r="26" ht="16" customHeight="1">
      <c r="A26" s="6" t="inlineStr">
        <is>
          <t>Component</t>
        </is>
      </c>
      <c r="B26" s="6" t="inlineStr">
        <is>
          <t>Rate (₹)</t>
        </is>
      </c>
      <c r="C26" s="6" t="inlineStr">
        <is>
          <t>Units</t>
        </is>
      </c>
      <c r="D26" s="6" t="inlineStr">
        <is>
          <t>Amount (₹)</t>
        </is>
      </c>
      <c r="E26" s="6" t="inlineStr"/>
      <c r="F26" s="6" t="inlineStr"/>
    </row>
    <row r="27" ht="18" customHeight="1">
      <c r="A27" s="8" t="inlineStr">
        <is>
          <t>Bed Charge (₹/day) — Bed Days in B8</t>
        </is>
      </c>
      <c r="B27" s="21">
        <f>'RATES &amp; SUMMARY'!$B$4</f>
        <v/>
      </c>
      <c r="C27" s="28">
        <f>B8</f>
        <v/>
      </c>
      <c r="D27" s="29">
        <f>B27*C27</f>
        <v/>
      </c>
      <c r="E27" s="8" t="inlineStr"/>
      <c r="F27" s="8" t="inlineStr"/>
    </row>
    <row r="28" ht="18" customHeight="1">
      <c r="A28" s="8" t="inlineStr">
        <is>
          <t>OT Charge (₹/hr) — OT Hours in B7</t>
        </is>
      </c>
      <c r="B28" s="21">
        <f>'RATES &amp; SUMMARY'!$B$5</f>
        <v/>
      </c>
      <c r="C28" s="28">
        <f>B7</f>
        <v/>
      </c>
      <c r="D28" s="29">
        <f>B28*C28</f>
        <v/>
      </c>
      <c r="E28" s="8" t="inlineStr"/>
      <c r="F28" s="8" t="inlineStr"/>
    </row>
    <row r="30" ht="28" customHeight="1">
      <c r="A30" s="30" t="inlineStr">
        <is>
          <t>GRAND TOTAL</t>
        </is>
      </c>
      <c r="D30" s="31">
        <f>E23+D27+D28</f>
        <v/>
      </c>
      <c r="E30" s="32" t="inlineStr"/>
    </row>
    <row r="995">
      <c r="G995">
        <f>E23+D27+D28</f>
        <v/>
      </c>
    </row>
    <row r="996">
      <c r="G996">
        <f>D28</f>
        <v/>
      </c>
    </row>
    <row r="997">
      <c r="G997">
        <f>D27</f>
        <v/>
      </c>
    </row>
    <row r="999">
      <c r="E999">
        <f>E23</f>
        <v/>
      </c>
    </row>
  </sheetData>
  <mergeCells count="13">
    <mergeCell ref="B6:C6"/>
    <mergeCell ref="A23:D23"/>
    <mergeCell ref="B2:C2"/>
    <mergeCell ref="A10:F10"/>
    <mergeCell ref="E30:F30"/>
    <mergeCell ref="B7:C7"/>
    <mergeCell ref="B3:C3"/>
    <mergeCell ref="B5:C5"/>
    <mergeCell ref="A1:F1"/>
    <mergeCell ref="A30:C30"/>
    <mergeCell ref="B8:C8"/>
    <mergeCell ref="B4:C4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" customWidth="1" min="3" max="3"/>
    <col width="14" customWidth="1" min="4" max="4"/>
    <col width="14" customWidth="1" min="5" max="5"/>
    <col width="38" customWidth="1" min="6" max="6"/>
    <col width="1" customWidth="1" min="7" max="7"/>
  </cols>
  <sheetData>
    <row r="1" ht="26" customHeight="1">
      <c r="A1" s="14" t="inlineStr">
        <is>
          <t>BK ADITYA MULTISPECIALTY HOSPITAL — PATIENT BILL  #29</t>
        </is>
      </c>
    </row>
    <row r="2">
      <c r="A2" s="15" t="inlineStr">
        <is>
          <t>Patient Name</t>
        </is>
      </c>
      <c r="B2" s="16" t="inlineStr">
        <is>
          <t>Sopna</t>
        </is>
      </c>
    </row>
    <row r="3">
      <c r="A3" s="15" t="inlineStr">
        <is>
          <t>Date</t>
        </is>
      </c>
      <c r="B3" s="17" t="inlineStr">
        <is>
          <t>08/06/2026</t>
        </is>
      </c>
    </row>
    <row r="4">
      <c r="A4" s="15" t="inlineStr">
        <is>
          <t>Doctor</t>
        </is>
      </c>
      <c r="B4" s="17" t="inlineStr">
        <is>
          <t>Dr. S. Gupta</t>
        </is>
      </c>
    </row>
    <row r="5">
      <c r="A5" s="15" t="inlineStr">
        <is>
          <t>Procedure</t>
        </is>
      </c>
      <c r="B5" s="16" t="inlineStr">
        <is>
          <t>PIRS Spine Surgery</t>
        </is>
      </c>
    </row>
    <row r="6">
      <c r="A6" s="15" t="inlineStr">
        <is>
          <t>Anaesthesia</t>
        </is>
      </c>
      <c r="B6" s="17" t="inlineStr">
        <is>
          <t>Spinal</t>
        </is>
      </c>
    </row>
    <row r="7">
      <c r="A7" s="15" t="inlineStr">
        <is>
          <t>OT Hours</t>
        </is>
      </c>
      <c r="B7" s="18" t="n">
        <v>4</v>
      </c>
    </row>
    <row r="8">
      <c r="A8" s="15" t="inlineStr">
        <is>
          <t>Bed Days</t>
        </is>
      </c>
      <c r="B8" s="18" t="n">
        <v>1</v>
      </c>
    </row>
    <row r="10" ht="20" customHeight="1">
      <c r="A10" s="19" t="inlineStr">
        <is>
          <t>A.  CONSUMABLES / MEDICINES</t>
        </is>
      </c>
    </row>
    <row r="11" ht="18" customHeight="1">
      <c r="A11" s="6" t="inlineStr">
        <is>
          <t>#</t>
        </is>
      </c>
      <c r="B11" s="6" t="inlineStr">
        <is>
          <t>Item Description</t>
        </is>
      </c>
      <c r="C11" s="6" t="inlineStr">
        <is>
          <t>Qty</t>
        </is>
      </c>
      <c r="D11" s="6" t="inlineStr">
        <is>
          <t>Rate (MRP ₹)</t>
        </is>
      </c>
      <c r="E11" s="6" t="inlineStr">
        <is>
          <t>Amount (₹)</t>
        </is>
      </c>
      <c r="F11" s="6" t="inlineStr">
        <is>
          <t>Notes</t>
        </is>
      </c>
    </row>
    <row r="12" ht="18" customHeight="1">
      <c r="A12" s="7" t="n">
        <v>1</v>
      </c>
      <c r="B12" s="9" t="inlineStr">
        <is>
          <t>NS 500ml</t>
        </is>
      </c>
      <c r="C12" s="20" t="n">
        <v>2</v>
      </c>
      <c r="D12" s="21" t="n">
        <v>39.05</v>
      </c>
      <c r="E12" s="21">
        <f>C12*D12</f>
        <v/>
      </c>
      <c r="F12" s="22" t="inlineStr">
        <is>
          <t>SL1 / NS 500ml — Normal Saline</t>
        </is>
      </c>
    </row>
    <row r="13" ht="18" customHeight="1">
      <c r="A13" s="7" t="n">
        <v>2</v>
      </c>
      <c r="B13" s="9" t="inlineStr">
        <is>
          <t>NS 100ml</t>
        </is>
      </c>
      <c r="C13" s="20" t="n">
        <v>1</v>
      </c>
      <c r="D13" s="21" t="n">
        <v>21</v>
      </c>
      <c r="E13" s="21">
        <f>C13*D13</f>
        <v/>
      </c>
      <c r="F13" s="22" t="inlineStr">
        <is>
          <t>SL3 / NS 100ml — Normal Saline 100ml</t>
        </is>
      </c>
    </row>
    <row r="14" ht="18" customHeight="1">
      <c r="A14" s="7" t="n">
        <v>3</v>
      </c>
      <c r="B14" s="9" t="inlineStr">
        <is>
          <t>RL 500ml</t>
        </is>
      </c>
      <c r="C14" s="20" t="n">
        <v>1</v>
      </c>
      <c r="D14" s="21" t="n">
        <v>63.3</v>
      </c>
      <c r="E14" s="21">
        <f>C14*D14</f>
        <v/>
      </c>
      <c r="F14" s="22" t="inlineStr">
        <is>
          <t>SL4 / RL 500ml — Ringer's Lactate</t>
        </is>
      </c>
    </row>
    <row r="15" ht="18" customHeight="1">
      <c r="A15" s="7" t="n">
        <v>4</v>
      </c>
      <c r="B15" s="9" t="inlineStr">
        <is>
          <t>Syringe 10ml</t>
        </is>
      </c>
      <c r="C15" s="20" t="n">
        <v>3</v>
      </c>
      <c r="D15" s="21" t="n">
        <v>20</v>
      </c>
      <c r="E15" s="21">
        <f>C15*D15</f>
        <v/>
      </c>
      <c r="F15" s="22" t="inlineStr">
        <is>
          <t>SL56 / Syringe 10cc / 10ml</t>
        </is>
      </c>
    </row>
    <row r="16" ht="18" customHeight="1">
      <c r="A16" s="7" t="n">
        <v>5</v>
      </c>
      <c r="B16" s="9" t="inlineStr">
        <is>
          <t>Syringe 2ml</t>
        </is>
      </c>
      <c r="C16" s="20" t="n">
        <v>2</v>
      </c>
      <c r="D16" s="21" t="n">
        <v>6.04</v>
      </c>
      <c r="E16" s="21">
        <f>C16*D16</f>
        <v/>
      </c>
      <c r="F16" s="22" t="inlineStr">
        <is>
          <t>SL58 / Syringe 2cc / 2ml</t>
        </is>
      </c>
    </row>
    <row r="17" ht="18" customHeight="1">
      <c r="A17" s="7" t="n">
        <v>6</v>
      </c>
      <c r="B17" s="9" t="inlineStr">
        <is>
          <t>IV Set</t>
        </is>
      </c>
      <c r="C17" s="20" t="n">
        <v>1</v>
      </c>
      <c r="D17" s="21" t="n">
        <v>201</v>
      </c>
      <c r="E17" s="21">
        <f>C17*D17</f>
        <v/>
      </c>
      <c r="F17" s="22" t="inlineStr">
        <is>
          <t>SL44 / IV Set / Sangoflex</t>
        </is>
      </c>
    </row>
    <row r="18" ht="18" customHeight="1">
      <c r="A18" s="7" t="n">
        <v>7</v>
      </c>
      <c r="B18" s="9" t="inlineStr">
        <is>
          <t>Foley's Catheter 20 No.</t>
        </is>
      </c>
      <c r="C18" s="20" t="n">
        <v>1</v>
      </c>
      <c r="D18" s="21" t="n">
        <v>192.5</v>
      </c>
      <c r="E18" s="21">
        <f>C18*D18</f>
        <v/>
      </c>
      <c r="F18" s="22" t="inlineStr">
        <is>
          <t>SL52 / Foley's Catheter 20 No.</t>
        </is>
      </c>
    </row>
    <row r="19" ht="18" customHeight="1">
      <c r="A19" s="7" t="n">
        <v>8</v>
      </c>
      <c r="B19" s="9" t="inlineStr">
        <is>
          <t>Inj. Ondem (Ondansetron)</t>
        </is>
      </c>
      <c r="C19" s="20" t="n">
        <v>1</v>
      </c>
      <c r="D19" s="21" t="n">
        <v>12.72</v>
      </c>
      <c r="E19" s="21">
        <f>C19*D19</f>
        <v/>
      </c>
      <c r="F19" s="22" t="inlineStr">
        <is>
          <t>SL29 / Inj. Ondem/Zofer/Zofar (Ondansetron</t>
        </is>
      </c>
    </row>
    <row r="20" ht="18" customHeight="1">
      <c r="A20" s="7" t="n">
        <v>9</v>
      </c>
      <c r="B20" s="9" t="inlineStr">
        <is>
          <t>Inj. Pan IV (Pantoprazole)</t>
        </is>
      </c>
      <c r="C20" s="20" t="n">
        <v>1</v>
      </c>
      <c r="D20" s="21" t="n">
        <v>53.9</v>
      </c>
      <c r="E20" s="21">
        <f>C20*D20</f>
        <v/>
      </c>
      <c r="F20" s="22" t="inlineStr">
        <is>
          <t>SL33 / Inj. Pan 40 / Pantocid (Pantoprazol</t>
        </is>
      </c>
    </row>
    <row r="21" ht="18" customHeight="1">
      <c r="A21" s="7" t="n">
        <v>10</v>
      </c>
      <c r="B21" s="9" t="inlineStr">
        <is>
          <t>Inj. Anawin Heavy 0.75%</t>
        </is>
      </c>
      <c r="C21" s="20" t="n">
        <v>2</v>
      </c>
      <c r="D21" s="21" t="n">
        <v>31.47</v>
      </c>
      <c r="E21" s="21">
        <f>C21*D21</f>
        <v/>
      </c>
      <c r="F21" s="22" t="inlineStr">
        <is>
          <t>SL7 / Inj. Anawin Heavy 0.75%/4ml (Bupiva</t>
        </is>
      </c>
    </row>
    <row r="22" ht="18" customHeight="1">
      <c r="A22" s="7" t="n">
        <v>11</v>
      </c>
      <c r="B22" s="9" t="inlineStr">
        <is>
          <t>Gloves 7.0 Sterile</t>
        </is>
      </c>
      <c r="C22" s="20" t="n">
        <v>4</v>
      </c>
      <c r="D22" s="21" t="n">
        <v>91</v>
      </c>
      <c r="E22" s="21">
        <f>C22*D22</f>
        <v/>
      </c>
      <c r="F22" s="22" t="inlineStr">
        <is>
          <t>SL65 / Gloves 7.0 (Sterile Surgical)</t>
        </is>
      </c>
    </row>
    <row r="23" ht="18" customHeight="1">
      <c r="A23" s="7" t="n">
        <v>12</v>
      </c>
      <c r="B23" s="9" t="inlineStr">
        <is>
          <t>Cap + Mask Set</t>
        </is>
      </c>
      <c r="C23" s="20" t="n">
        <v>4</v>
      </c>
      <c r="D23" s="23" t="inlineStr">
        <is>
          <t>⚠ ENTER MRP</t>
        </is>
      </c>
      <c r="E23" s="24" t="n">
        <v>0</v>
      </c>
      <c r="F23" s="25" t="inlineStr">
        <is>
          <t>SL86 — MRP missing, enter manually</t>
        </is>
      </c>
    </row>
    <row r="24" ht="18" customHeight="1">
      <c r="A24" s="7" t="n">
        <v>13</v>
      </c>
      <c r="B24" s="9" t="inlineStr">
        <is>
          <t>Betadine Lotion 100ml</t>
        </is>
      </c>
      <c r="C24" s="20" t="n">
        <v>1</v>
      </c>
      <c r="D24" s="21" t="n">
        <v>236.25</v>
      </c>
      <c r="E24" s="21">
        <f>C24*D24</f>
        <v/>
      </c>
      <c r="F24" s="22" t="inlineStr">
        <is>
          <t>SL69 / Betadine Lotion 100ml</t>
        </is>
      </c>
    </row>
    <row r="25" ht="18" customHeight="1">
      <c r="A25" s="7" t="n">
        <v>14</v>
      </c>
      <c r="B25" s="9" t="inlineStr">
        <is>
          <t>Betadine Scrub 100ml</t>
        </is>
      </c>
      <c r="C25" s="20" t="n">
        <v>1</v>
      </c>
      <c r="D25" s="21" t="n">
        <v>236.25</v>
      </c>
      <c r="E25" s="21">
        <f>C25*D25</f>
        <v/>
      </c>
      <c r="F25" s="22" t="inlineStr">
        <is>
          <t>SL72 / Betadine Scrub 100ml</t>
        </is>
      </c>
    </row>
    <row r="26" ht="22" customHeight="1">
      <c r="A26" s="26" t="inlineStr">
        <is>
          <t>Consumables Sub-Total</t>
        </is>
      </c>
      <c r="E26" s="27">
        <f>SUMIF(E12:E25,"&gt;0",E12:E25)</f>
        <v/>
      </c>
      <c r="F26" s="25" t="inlineStr">
        <is>
          <t>⚠ 1 item(s) need MRP — total partial</t>
        </is>
      </c>
    </row>
    <row r="28" ht="20" customHeight="1">
      <c r="A28" s="19" t="inlineStr">
        <is>
          <t>B.  BED CHARGES  +  C.  OT CHARGES</t>
        </is>
      </c>
    </row>
    <row r="29" ht="16" customHeight="1">
      <c r="A29" s="6" t="inlineStr">
        <is>
          <t>Component</t>
        </is>
      </c>
      <c r="B29" s="6" t="inlineStr">
        <is>
          <t>Rate (₹)</t>
        </is>
      </c>
      <c r="C29" s="6" t="inlineStr">
        <is>
          <t>Units</t>
        </is>
      </c>
      <c r="D29" s="6" t="inlineStr">
        <is>
          <t>Amount (₹)</t>
        </is>
      </c>
      <c r="E29" s="6" t="inlineStr"/>
      <c r="F29" s="6" t="inlineStr"/>
    </row>
    <row r="30" ht="18" customHeight="1">
      <c r="A30" s="8" t="inlineStr">
        <is>
          <t>Bed Charge (₹/day) — Bed Days in B8</t>
        </is>
      </c>
      <c r="B30" s="21">
        <f>'RATES &amp; SUMMARY'!$B$4</f>
        <v/>
      </c>
      <c r="C30" s="28">
        <f>B8</f>
        <v/>
      </c>
      <c r="D30" s="29">
        <f>B30*C30</f>
        <v/>
      </c>
      <c r="E30" s="8" t="inlineStr"/>
      <c r="F30" s="8" t="inlineStr"/>
    </row>
    <row r="31" ht="18" customHeight="1">
      <c r="A31" s="8" t="inlineStr">
        <is>
          <t>OT Charge (₹/hr) — OT Hours in B7</t>
        </is>
      </c>
      <c r="B31" s="21">
        <f>'RATES &amp; SUMMARY'!$B$5</f>
        <v/>
      </c>
      <c r="C31" s="28">
        <f>B7</f>
        <v/>
      </c>
      <c r="D31" s="29">
        <f>B31*C31</f>
        <v/>
      </c>
      <c r="E31" s="8" t="inlineStr"/>
      <c r="F31" s="8" t="inlineStr"/>
    </row>
    <row r="33" ht="28" customHeight="1">
      <c r="A33" s="30" t="inlineStr">
        <is>
          <t>GRAND TOTAL</t>
        </is>
      </c>
      <c r="D33" s="31">
        <f>E26+D30+D31</f>
        <v/>
      </c>
      <c r="E33" s="32" t="inlineStr"/>
    </row>
    <row r="995">
      <c r="G995">
        <f>E26+D30+D31</f>
        <v/>
      </c>
    </row>
    <row r="996">
      <c r="G996">
        <f>D31</f>
        <v/>
      </c>
    </row>
    <row r="997">
      <c r="G997">
        <f>D30</f>
        <v/>
      </c>
    </row>
    <row r="999">
      <c r="E999">
        <f>E26</f>
        <v/>
      </c>
    </row>
  </sheetData>
  <mergeCells count="13">
    <mergeCell ref="B6:C6"/>
    <mergeCell ref="B2:C2"/>
    <mergeCell ref="A10:F10"/>
    <mergeCell ref="A28:F28"/>
    <mergeCell ref="B7:C7"/>
    <mergeCell ref="A33:C33"/>
    <mergeCell ref="B3:C3"/>
    <mergeCell ref="B5:C5"/>
    <mergeCell ref="A1:F1"/>
    <mergeCell ref="A26:D26"/>
    <mergeCell ref="E33:F33"/>
    <mergeCell ref="B8:C8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" customWidth="1" min="3" max="3"/>
    <col width="14" customWidth="1" min="4" max="4"/>
    <col width="14" customWidth="1" min="5" max="5"/>
    <col width="38" customWidth="1" min="6" max="6"/>
    <col width="1" customWidth="1" min="7" max="7"/>
  </cols>
  <sheetData>
    <row r="1" ht="26" customHeight="1">
      <c r="A1" s="14" t="inlineStr">
        <is>
          <t>BK ADITYA MULTISPECIALTY HOSPITAL — PATIENT BILL  #30</t>
        </is>
      </c>
    </row>
    <row r="2">
      <c r="A2" s="15" t="inlineStr">
        <is>
          <t>Patient Name</t>
        </is>
      </c>
      <c r="B2" s="16" t="inlineStr">
        <is>
          <t>Shankari Chakraborty</t>
        </is>
      </c>
    </row>
    <row r="3">
      <c r="A3" s="15" t="inlineStr">
        <is>
          <t>Date</t>
        </is>
      </c>
      <c r="B3" s="17" t="inlineStr">
        <is>
          <t>08/06/2026</t>
        </is>
      </c>
    </row>
    <row r="4">
      <c r="A4" s="15" t="inlineStr">
        <is>
          <t>Doctor</t>
        </is>
      </c>
      <c r="B4" s="17" t="inlineStr">
        <is>
          <t>Dr. K. Digga</t>
        </is>
      </c>
    </row>
    <row r="5">
      <c r="A5" s="15" t="inlineStr">
        <is>
          <t>Procedure</t>
        </is>
      </c>
      <c r="B5" s="16" t="inlineStr">
        <is>
          <t>Total Knee Replacement (TKR)</t>
        </is>
      </c>
    </row>
    <row r="6">
      <c r="A6" s="15" t="inlineStr">
        <is>
          <t>Anaesthesia</t>
        </is>
      </c>
      <c r="B6" s="17" t="inlineStr">
        <is>
          <t>Spinal</t>
        </is>
      </c>
    </row>
    <row r="7">
      <c r="A7" s="15" t="inlineStr">
        <is>
          <t>OT Hours</t>
        </is>
      </c>
      <c r="B7" s="18" t="n">
        <v>3</v>
      </c>
    </row>
    <row r="8">
      <c r="A8" s="15" t="inlineStr">
        <is>
          <t>Bed Days</t>
        </is>
      </c>
      <c r="B8" s="18" t="n">
        <v>6</v>
      </c>
    </row>
    <row r="10" ht="20" customHeight="1">
      <c r="A10" s="19" t="inlineStr">
        <is>
          <t>A.  CONSUMABLES / MEDICINES</t>
        </is>
      </c>
    </row>
    <row r="11" ht="18" customHeight="1">
      <c r="A11" s="6" t="inlineStr">
        <is>
          <t>#</t>
        </is>
      </c>
      <c r="B11" s="6" t="inlineStr">
        <is>
          <t>Item Description</t>
        </is>
      </c>
      <c r="C11" s="6" t="inlineStr">
        <is>
          <t>Qty</t>
        </is>
      </c>
      <c r="D11" s="6" t="inlineStr">
        <is>
          <t>Rate (MRP ₹)</t>
        </is>
      </c>
      <c r="E11" s="6" t="inlineStr">
        <is>
          <t>Amount (₹)</t>
        </is>
      </c>
      <c r="F11" s="6" t="inlineStr">
        <is>
          <t>Notes</t>
        </is>
      </c>
    </row>
    <row r="12" ht="18" customHeight="1">
      <c r="A12" s="7" t="n">
        <v>1</v>
      </c>
      <c r="B12" s="9" t="inlineStr">
        <is>
          <t>Inj. Anawin Heavy 0.75% (Spinocaine)</t>
        </is>
      </c>
      <c r="C12" s="20" t="n">
        <v>1</v>
      </c>
      <c r="D12" s="21" t="n">
        <v>31.47</v>
      </c>
      <c r="E12" s="21">
        <f>C12*D12</f>
        <v/>
      </c>
      <c r="F12" s="22" t="inlineStr">
        <is>
          <t>SL7 / Inj. Anawin Heavy 0.75%/4ml (Bupiva</t>
        </is>
      </c>
    </row>
    <row r="13" ht="18" customHeight="1">
      <c r="A13" s="7" t="n">
        <v>2</v>
      </c>
      <c r="B13" s="9" t="inlineStr">
        <is>
          <t>IV Set</t>
        </is>
      </c>
      <c r="C13" s="20" t="n">
        <v>2</v>
      </c>
      <c r="D13" s="21" t="n">
        <v>201</v>
      </c>
      <c r="E13" s="21">
        <f>C13*D13</f>
        <v/>
      </c>
      <c r="F13" s="22" t="inlineStr">
        <is>
          <t>SL44 / IV Set / Sangoflex</t>
        </is>
      </c>
    </row>
    <row r="14" ht="18" customHeight="1">
      <c r="A14" s="7" t="n">
        <v>3</v>
      </c>
      <c r="B14" s="9" t="inlineStr">
        <is>
          <t>IV Cannula 20G</t>
        </is>
      </c>
      <c r="C14" s="20" t="n">
        <v>2</v>
      </c>
      <c r="D14" s="21" t="n">
        <v>202.55</v>
      </c>
      <c r="E14" s="21">
        <f>C14*D14</f>
        <v/>
      </c>
      <c r="F14" s="22" t="inlineStr">
        <is>
          <t>SL45 / IV Cannula 20G / Venflon 20G</t>
        </is>
      </c>
    </row>
    <row r="15" ht="18" customHeight="1">
      <c r="A15" s="7" t="n">
        <v>4</v>
      </c>
      <c r="B15" s="9" t="inlineStr">
        <is>
          <t>Easyfix</t>
        </is>
      </c>
      <c r="C15" s="20" t="n">
        <v>2</v>
      </c>
      <c r="D15" s="21" t="n">
        <v>900</v>
      </c>
      <c r="E15" s="21">
        <f>C15*D15</f>
        <v/>
      </c>
      <c r="F15" s="22" t="inlineStr">
        <is>
          <t>SL48 / Easyfix (Adhesive Film Dressing)</t>
        </is>
      </c>
    </row>
    <row r="16" ht="18" customHeight="1">
      <c r="A16" s="7" t="n">
        <v>5</v>
      </c>
      <c r="B16" s="9" t="inlineStr">
        <is>
          <t>Syringe 10ml</t>
        </is>
      </c>
      <c r="C16" s="20" t="n">
        <v>3</v>
      </c>
      <c r="D16" s="21" t="n">
        <v>20</v>
      </c>
      <c r="E16" s="21">
        <f>C16*D16</f>
        <v/>
      </c>
      <c r="F16" s="22" t="inlineStr">
        <is>
          <t>SL56 / Syringe 10cc / 10ml</t>
        </is>
      </c>
    </row>
    <row r="17" ht="18" customHeight="1">
      <c r="A17" s="7" t="n">
        <v>6</v>
      </c>
      <c r="B17" s="9" t="inlineStr">
        <is>
          <t>Syringe 5ml</t>
        </is>
      </c>
      <c r="C17" s="20" t="n">
        <v>2</v>
      </c>
      <c r="D17" s="21" t="n">
        <v>10.23</v>
      </c>
      <c r="E17" s="21">
        <f>C17*D17</f>
        <v/>
      </c>
      <c r="F17" s="22" t="inlineStr">
        <is>
          <t>SL57 / Syringe 5cc / 5ml</t>
        </is>
      </c>
    </row>
    <row r="18" ht="18" customHeight="1">
      <c r="A18" s="7" t="n">
        <v>7</v>
      </c>
      <c r="B18" s="9" t="inlineStr">
        <is>
          <t>Syringe 2ml</t>
        </is>
      </c>
      <c r="C18" s="20" t="n">
        <v>2</v>
      </c>
      <c r="D18" s="21" t="n">
        <v>6.04</v>
      </c>
      <c r="E18" s="21">
        <f>C18*D18</f>
        <v/>
      </c>
      <c r="F18" s="22" t="inlineStr">
        <is>
          <t>SL58 / Syringe 2cc / 2ml</t>
        </is>
      </c>
    </row>
    <row r="19" ht="18" customHeight="1">
      <c r="A19" s="7" t="n">
        <v>8</v>
      </c>
      <c r="B19" s="9" t="inlineStr">
        <is>
          <t>D. Water 10ml</t>
        </is>
      </c>
      <c r="C19" s="20" t="n">
        <v>7</v>
      </c>
      <c r="D19" s="21" t="n">
        <v>3.24</v>
      </c>
      <c r="E19" s="21">
        <f>C19*D19</f>
        <v/>
      </c>
      <c r="F19" s="22" t="inlineStr">
        <is>
          <t>SL59 / D. Water 10ml (Sterile Water)</t>
        </is>
      </c>
    </row>
    <row r="20" ht="18" customHeight="1">
      <c r="A20" s="7" t="n">
        <v>9</v>
      </c>
      <c r="B20" s="9" t="inlineStr">
        <is>
          <t>Gypsona POP Bandage 4"</t>
        </is>
      </c>
      <c r="C20" s="20" t="n">
        <v>2</v>
      </c>
      <c r="D20" s="21" t="n">
        <v>19.92</v>
      </c>
      <c r="E20" s="21">
        <f>C20*D20</f>
        <v/>
      </c>
      <c r="F20" s="22" t="inlineStr">
        <is>
          <t>SL85 / Gypsona POP Bandage 40G</t>
        </is>
      </c>
    </row>
    <row r="21" ht="18" customHeight="1">
      <c r="A21" s="7" t="n">
        <v>10</v>
      </c>
      <c r="B21" s="9" t="inlineStr">
        <is>
          <t>Suture Ethilon 2-0</t>
        </is>
      </c>
      <c r="C21" s="20" t="n">
        <v>1</v>
      </c>
      <c r="D21" s="21" t="n">
        <v>277</v>
      </c>
      <c r="E21" s="21">
        <f>C21*D21</f>
        <v/>
      </c>
      <c r="F21" s="22" t="inlineStr">
        <is>
          <t>SL77 / Suture Ethilon 2-0 / SN9336TFP</t>
        </is>
      </c>
    </row>
    <row r="22" ht="18" customHeight="1">
      <c r="A22" s="7" t="n">
        <v>11</v>
      </c>
      <c r="B22" s="9" t="inlineStr">
        <is>
          <t>Suture Vicryl 1</t>
        </is>
      </c>
      <c r="C22" s="20" t="n">
        <v>1</v>
      </c>
      <c r="D22" s="21" t="n">
        <v>250</v>
      </c>
      <c r="E22" s="21">
        <f>C22*D22</f>
        <v/>
      </c>
      <c r="F22" s="22" t="inlineStr">
        <is>
          <t>SL78 / Suture Vicryl 1 (2421)</t>
        </is>
      </c>
    </row>
    <row r="23" ht="18" customHeight="1">
      <c r="A23" s="7" t="n">
        <v>12</v>
      </c>
      <c r="B23" s="9" t="inlineStr">
        <is>
          <t>Cap + Mask Set</t>
        </is>
      </c>
      <c r="C23" s="20" t="n">
        <v>6</v>
      </c>
      <c r="D23" s="23" t="inlineStr">
        <is>
          <t>⚠ ENTER MRP</t>
        </is>
      </c>
      <c r="E23" s="24" t="n">
        <v>0</v>
      </c>
      <c r="F23" s="25" t="inlineStr">
        <is>
          <t>SL86 — MRP missing, enter manually</t>
        </is>
      </c>
    </row>
    <row r="24" ht="18" customHeight="1">
      <c r="A24" s="7" t="n">
        <v>13</v>
      </c>
      <c r="B24" s="9" t="inlineStr">
        <is>
          <t>NS 500ml</t>
        </is>
      </c>
      <c r="C24" s="20" t="n">
        <v>8</v>
      </c>
      <c r="D24" s="21" t="n">
        <v>39.05</v>
      </c>
      <c r="E24" s="21">
        <f>C24*D24</f>
        <v/>
      </c>
      <c r="F24" s="22" t="inlineStr">
        <is>
          <t>SL1 / NS 500ml — Normal Saline</t>
        </is>
      </c>
    </row>
    <row r="25" ht="18" customHeight="1">
      <c r="A25" s="7" t="n">
        <v>14</v>
      </c>
      <c r="B25" s="9" t="inlineStr">
        <is>
          <t>NS 100ml</t>
        </is>
      </c>
      <c r="C25" s="20" t="n">
        <v>6</v>
      </c>
      <c r="D25" s="21" t="n">
        <v>21</v>
      </c>
      <c r="E25" s="21">
        <f>C25*D25</f>
        <v/>
      </c>
      <c r="F25" s="22" t="inlineStr">
        <is>
          <t>SL3 / NS 100ml — Normal Saline 100ml</t>
        </is>
      </c>
    </row>
    <row r="26" ht="18" customHeight="1">
      <c r="A26" s="7" t="n">
        <v>15</v>
      </c>
      <c r="B26" s="9" t="inlineStr">
        <is>
          <t>RL 500ml</t>
        </is>
      </c>
      <c r="C26" s="20" t="n">
        <v>1</v>
      </c>
      <c r="D26" s="21" t="n">
        <v>63.3</v>
      </c>
      <c r="E26" s="21">
        <f>C26*D26</f>
        <v/>
      </c>
      <c r="F26" s="22" t="inlineStr">
        <is>
          <t>SL4 / RL 500ml — Ringer's Lactate</t>
        </is>
      </c>
    </row>
    <row r="27" ht="18" customHeight="1">
      <c r="A27" s="7" t="n">
        <v>16</v>
      </c>
      <c r="B27" s="9" t="inlineStr">
        <is>
          <t>Moli/Mackintosh Sheet</t>
        </is>
      </c>
      <c r="C27" s="20" t="n">
        <v>1</v>
      </c>
      <c r="D27" s="21" t="n">
        <v>150</v>
      </c>
      <c r="E27" s="21">
        <f>C27*D27</f>
        <v/>
      </c>
      <c r="F27" s="22" t="inlineStr">
        <is>
          <t>SL87 / Moli / Mackintosh Sheet</t>
        </is>
      </c>
    </row>
    <row r="28" ht="18" customHeight="1">
      <c r="A28" s="7" t="n">
        <v>17</v>
      </c>
      <c r="B28" s="9" t="inlineStr">
        <is>
          <t>Inj. Neomol IV 10ml</t>
        </is>
      </c>
      <c r="C28" s="20" t="n">
        <v>7</v>
      </c>
      <c r="D28" s="21" t="n">
        <v>42.8</v>
      </c>
      <c r="E28" s="21">
        <f>C28*D28</f>
        <v/>
      </c>
      <c r="F28" s="22" t="inlineStr">
        <is>
          <t>SL28 / Inj. Neomol IV 10ml (PCM IV)</t>
        </is>
      </c>
    </row>
    <row r="29" ht="18" customHeight="1">
      <c r="A29" s="7" t="n">
        <v>18</v>
      </c>
      <c r="B29" s="9" t="inlineStr">
        <is>
          <t>Foley's Catheter 16 No.</t>
        </is>
      </c>
      <c r="C29" s="20" t="n">
        <v>1</v>
      </c>
      <c r="D29" s="21" t="n">
        <v>174</v>
      </c>
      <c r="E29" s="21">
        <f>C29*D29</f>
        <v/>
      </c>
      <c r="F29" s="22" t="inlineStr">
        <is>
          <t>SL50 / Foley's Catheter 16 No.</t>
        </is>
      </c>
    </row>
    <row r="30" ht="18" customHeight="1">
      <c r="A30" s="7" t="n">
        <v>19</v>
      </c>
      <c r="B30" s="9" t="inlineStr">
        <is>
          <t>Uro Bag</t>
        </is>
      </c>
      <c r="C30" s="20" t="n">
        <v>1</v>
      </c>
      <c r="D30" s="21" t="n">
        <v>361</v>
      </c>
      <c r="E30" s="21">
        <f>C30*D30</f>
        <v/>
      </c>
      <c r="F30" s="22" t="inlineStr">
        <is>
          <t>SL49 / Uro Bag</t>
        </is>
      </c>
    </row>
    <row r="31" ht="18" customHeight="1">
      <c r="A31" s="7" t="n">
        <v>20</v>
      </c>
      <c r="B31" s="9" t="inlineStr">
        <is>
          <t>Inj. Ondem 2ml</t>
        </is>
      </c>
      <c r="C31" s="20" t="n">
        <v>7</v>
      </c>
      <c r="D31" s="21" t="n">
        <v>12.72</v>
      </c>
      <c r="E31" s="21">
        <f>C31*D31</f>
        <v/>
      </c>
      <c r="F31" s="22" t="inlineStr">
        <is>
          <t>SL29 / Inj. Ondem/Zofer/Zofar (Ondansetron</t>
        </is>
      </c>
    </row>
    <row r="32" ht="18" customHeight="1">
      <c r="A32" s="7" t="n">
        <v>21</v>
      </c>
      <c r="B32" s="9" t="inlineStr">
        <is>
          <t>Inj. Pan IV</t>
        </is>
      </c>
      <c r="C32" s="20" t="n">
        <v>6</v>
      </c>
      <c r="D32" s="21" t="n">
        <v>53.9</v>
      </c>
      <c r="E32" s="21">
        <f>C32*D32</f>
        <v/>
      </c>
      <c r="F32" s="22" t="inlineStr">
        <is>
          <t>SL33 / Inj. Pan 40 / Pantocid (Pantoprazol</t>
        </is>
      </c>
    </row>
    <row r="33" ht="18" customHeight="1">
      <c r="A33" s="7" t="n">
        <v>22</v>
      </c>
      <c r="B33" s="9" t="inlineStr">
        <is>
          <t>Inj. Xone 1g</t>
        </is>
      </c>
      <c r="C33" s="20" t="n">
        <v>4</v>
      </c>
      <c r="D33" s="21" t="n">
        <v>66.64</v>
      </c>
      <c r="E33" s="21">
        <f>C33*D33</f>
        <v/>
      </c>
      <c r="F33" s="22" t="inlineStr">
        <is>
          <t>SL16 / Inj. Xone/Monocef 1g (Ceftriaxone)</t>
        </is>
      </c>
    </row>
    <row r="34" ht="18" customHeight="1">
      <c r="A34" s="7" t="n">
        <v>23</v>
      </c>
      <c r="B34" s="9" t="inlineStr">
        <is>
          <t>Inj. Diclofenac AQ (Justin)</t>
        </is>
      </c>
      <c r="C34" s="20" t="n">
        <v>4</v>
      </c>
      <c r="D34" s="21" t="n">
        <v>23.8</v>
      </c>
      <c r="E34" s="21">
        <f>C34*D34</f>
        <v/>
      </c>
      <c r="F34" s="22" t="inlineStr">
        <is>
          <t xml:space="preserve">SL22 / Inj. Dynapar/Justin AQ (Diclofenac </t>
        </is>
      </c>
    </row>
    <row r="35" ht="18" customHeight="1">
      <c r="A35" s="7" t="n">
        <v>24</v>
      </c>
      <c r="B35" s="9" t="inlineStr">
        <is>
          <t>Inj. PCM 100ml (Paracetamol IV)</t>
        </is>
      </c>
      <c r="C35" s="20" t="n">
        <v>3</v>
      </c>
      <c r="D35" s="21" t="n">
        <v>591.3</v>
      </c>
      <c r="E35" s="21">
        <f>C35*D35</f>
        <v/>
      </c>
      <c r="F35" s="22" t="inlineStr">
        <is>
          <t>SL27 / Inj. PCM 100ml (Paracetamol IV)</t>
        </is>
      </c>
    </row>
    <row r="36" ht="18" customHeight="1">
      <c r="A36" s="7" t="n">
        <v>25</v>
      </c>
      <c r="B36" s="9" t="inlineStr">
        <is>
          <t>Inj. Cetil (Cefuroxime Axetil)</t>
        </is>
      </c>
      <c r="C36" s="20" t="n">
        <v>2</v>
      </c>
      <c r="D36" s="21" t="n">
        <v>346.9</v>
      </c>
      <c r="E36" s="21">
        <f>C36*D36</f>
        <v/>
      </c>
      <c r="F36" s="22" t="inlineStr">
        <is>
          <t>SL21 / Inj. Cetil (Cefuroxime Axetil)</t>
        </is>
      </c>
    </row>
    <row r="37" ht="18" customHeight="1">
      <c r="A37" s="7" t="n">
        <v>26</v>
      </c>
      <c r="B37" s="9" t="inlineStr">
        <is>
          <t>Inj. Tramadol 50mg</t>
        </is>
      </c>
      <c r="C37" s="20" t="n">
        <v>2</v>
      </c>
      <c r="D37" s="21" t="n">
        <v>12.56</v>
      </c>
      <c r="E37" s="21">
        <f>C37*D37</f>
        <v/>
      </c>
      <c r="F37" s="22" t="inlineStr">
        <is>
          <t>SL25 / Inj. Tramadol 50mg</t>
        </is>
      </c>
    </row>
    <row r="38" ht="18" customHeight="1">
      <c r="A38" s="7" t="n">
        <v>27</v>
      </c>
      <c r="B38" s="9" t="inlineStr">
        <is>
          <t>Gloves 6.5 Sterile</t>
        </is>
      </c>
      <c r="C38" s="20" t="n">
        <v>3</v>
      </c>
      <c r="D38" s="21" t="n">
        <v>97</v>
      </c>
      <c r="E38" s="21">
        <f>C38*D38</f>
        <v/>
      </c>
      <c r="F38" s="22" t="inlineStr">
        <is>
          <t>SL66 / Gloves 6.5 (Sterile Surgical)</t>
        </is>
      </c>
    </row>
    <row r="39" ht="18" customHeight="1">
      <c r="A39" s="7" t="n">
        <v>28</v>
      </c>
      <c r="B39" s="9" t="inlineStr">
        <is>
          <t>Gauze Pieces (Sterile)</t>
        </is>
      </c>
      <c r="C39" s="20" t="n">
        <v>28</v>
      </c>
      <c r="D39" s="21" t="n">
        <v>14</v>
      </c>
      <c r="E39" s="21">
        <f>C39*D39</f>
        <v/>
      </c>
      <c r="F39" s="22" t="inlineStr">
        <is>
          <t>SL63 / Gauze Pieces (Sterile)</t>
        </is>
      </c>
    </row>
    <row r="40" ht="18" customHeight="1">
      <c r="A40" s="7" t="n">
        <v>29</v>
      </c>
      <c r="B40" s="9" t="inlineStr">
        <is>
          <t>Roller Bandage 6"</t>
        </is>
      </c>
      <c r="C40" s="20" t="n">
        <v>3</v>
      </c>
      <c r="D40" s="21" t="n">
        <v>67.5</v>
      </c>
      <c r="E40" s="21">
        <f>C40*D40</f>
        <v/>
      </c>
      <c r="F40" s="22" t="inlineStr">
        <is>
          <t>SL74 / Roller Bandage 6" (Crepe)</t>
        </is>
      </c>
    </row>
    <row r="41" ht="18" customHeight="1">
      <c r="A41" s="7" t="n">
        <v>30</v>
      </c>
      <c r="B41" s="9" t="inlineStr">
        <is>
          <t>Gamji Roll</t>
        </is>
      </c>
      <c r="C41" s="20" t="n">
        <v>3</v>
      </c>
      <c r="D41" s="21" t="n">
        <v>250</v>
      </c>
      <c r="E41" s="21">
        <f>C41*D41</f>
        <v/>
      </c>
      <c r="F41" s="22" t="inlineStr">
        <is>
          <t>SL108 / Gamji Roll</t>
        </is>
      </c>
    </row>
    <row r="42" ht="18" customHeight="1">
      <c r="A42" s="7" t="n">
        <v>31</v>
      </c>
      <c r="B42" s="9" t="inlineStr">
        <is>
          <t>Betadine Lotion 100ml</t>
        </is>
      </c>
      <c r="C42" s="20" t="n">
        <v>1</v>
      </c>
      <c r="D42" s="21" t="n">
        <v>236.25</v>
      </c>
      <c r="E42" s="21">
        <f>C42*D42</f>
        <v/>
      </c>
      <c r="F42" s="22" t="inlineStr">
        <is>
          <t>SL69 / Betadine Lotion 100ml</t>
        </is>
      </c>
    </row>
    <row r="43" ht="18" customHeight="1">
      <c r="A43" s="7" t="n">
        <v>32</v>
      </c>
      <c r="B43" s="9" t="inlineStr">
        <is>
          <t>Betadine Ointment 40g</t>
        </is>
      </c>
      <c r="C43" s="20" t="n">
        <v>1</v>
      </c>
      <c r="D43" s="23" t="inlineStr">
        <is>
          <t>⚠ ENTER MRP</t>
        </is>
      </c>
      <c r="E43" s="24" t="n">
        <v>0</v>
      </c>
      <c r="F43" s="25" t="inlineStr">
        <is>
          <t>SL71 — MRP missing, enter manually</t>
        </is>
      </c>
    </row>
    <row r="44" ht="22" customHeight="1">
      <c r="A44" s="26" t="inlineStr">
        <is>
          <t>Consumables Sub-Total</t>
        </is>
      </c>
      <c r="E44" s="27">
        <f>SUMIF(E12:E43,"&gt;0",E12:E43)</f>
        <v/>
      </c>
      <c r="F44" s="25" t="inlineStr">
        <is>
          <t>⚠ 2 item(s) need MRP — total partial</t>
        </is>
      </c>
    </row>
    <row r="46" ht="20" customHeight="1">
      <c r="A46" s="19" t="inlineStr">
        <is>
          <t>B.  BED CHARGES  +  C.  OT CHARGES</t>
        </is>
      </c>
    </row>
    <row r="47" ht="16" customHeight="1">
      <c r="A47" s="6" t="inlineStr">
        <is>
          <t>Component</t>
        </is>
      </c>
      <c r="B47" s="6" t="inlineStr">
        <is>
          <t>Rate (₹)</t>
        </is>
      </c>
      <c r="C47" s="6" t="inlineStr">
        <is>
          <t>Units</t>
        </is>
      </c>
      <c r="D47" s="6" t="inlineStr">
        <is>
          <t>Amount (₹)</t>
        </is>
      </c>
      <c r="E47" s="6" t="inlineStr"/>
      <c r="F47" s="6" t="inlineStr"/>
    </row>
    <row r="48" ht="18" customHeight="1">
      <c r="A48" s="8" t="inlineStr">
        <is>
          <t>Bed Charge (₹/day) — Bed Days in B8</t>
        </is>
      </c>
      <c r="B48" s="21">
        <f>'RATES &amp; SUMMARY'!$B$4</f>
        <v/>
      </c>
      <c r="C48" s="28">
        <f>B8</f>
        <v/>
      </c>
      <c r="D48" s="29">
        <f>B48*C48</f>
        <v/>
      </c>
      <c r="E48" s="8" t="inlineStr"/>
      <c r="F48" s="8" t="inlineStr"/>
    </row>
    <row r="49" ht="18" customHeight="1">
      <c r="A49" s="8" t="inlineStr">
        <is>
          <t>OT Charge (₹/hr) — OT Hours in B7</t>
        </is>
      </c>
      <c r="B49" s="21">
        <f>'RATES &amp; SUMMARY'!$B$5</f>
        <v/>
      </c>
      <c r="C49" s="28">
        <f>B7</f>
        <v/>
      </c>
      <c r="D49" s="29">
        <f>B49*C49</f>
        <v/>
      </c>
      <c r="E49" s="8" t="inlineStr"/>
      <c r="F49" s="8" t="inlineStr"/>
    </row>
    <row r="51" ht="28" customHeight="1">
      <c r="A51" s="30" t="inlineStr">
        <is>
          <t>GRAND TOTAL</t>
        </is>
      </c>
      <c r="D51" s="31">
        <f>E44+D48+D49</f>
        <v/>
      </c>
      <c r="E51" s="32" t="inlineStr"/>
    </row>
    <row r="995">
      <c r="G995">
        <f>E44+D48+D49</f>
        <v/>
      </c>
    </row>
    <row r="996">
      <c r="G996">
        <f>D49</f>
        <v/>
      </c>
    </row>
    <row r="997">
      <c r="G997">
        <f>D48</f>
        <v/>
      </c>
    </row>
    <row r="999">
      <c r="E999">
        <f>E44</f>
        <v/>
      </c>
    </row>
  </sheetData>
  <mergeCells count="13">
    <mergeCell ref="B6:C6"/>
    <mergeCell ref="E51:F51"/>
    <mergeCell ref="B2:C2"/>
    <mergeCell ref="A10:F10"/>
    <mergeCell ref="A46:F46"/>
    <mergeCell ref="B7:C7"/>
    <mergeCell ref="B3:C3"/>
    <mergeCell ref="B5:C5"/>
    <mergeCell ref="A1:F1"/>
    <mergeCell ref="B8:C8"/>
    <mergeCell ref="B4:C4"/>
    <mergeCell ref="A51:C51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" customWidth="1" min="3" max="3"/>
    <col width="14" customWidth="1" min="4" max="4"/>
    <col width="14" customWidth="1" min="5" max="5"/>
    <col width="38" customWidth="1" min="6" max="6"/>
    <col width="1" customWidth="1" min="7" max="7"/>
  </cols>
  <sheetData>
    <row r="1" ht="26" customHeight="1">
      <c r="A1" s="14" t="inlineStr">
        <is>
          <t>BK ADITYA MULTISPECIALTY HOSPITAL — PATIENT BILL  #31</t>
        </is>
      </c>
    </row>
    <row r="2">
      <c r="A2" s="15" t="inlineStr">
        <is>
          <t>Patient Name</t>
        </is>
      </c>
      <c r="B2" s="16" t="inlineStr">
        <is>
          <t>Kalipada Mondal</t>
        </is>
      </c>
    </row>
    <row r="3">
      <c r="A3" s="15" t="inlineStr">
        <is>
          <t>Date</t>
        </is>
      </c>
      <c r="B3" s="17" t="inlineStr">
        <is>
          <t>09/06/2026</t>
        </is>
      </c>
    </row>
    <row r="4">
      <c r="A4" s="15" t="inlineStr">
        <is>
          <t>Doctor</t>
        </is>
      </c>
      <c r="B4" s="17" t="inlineStr">
        <is>
          <t>Dr. S. Gupta</t>
        </is>
      </c>
    </row>
    <row r="5">
      <c r="A5" s="15" t="inlineStr">
        <is>
          <t>Procedure</t>
        </is>
      </c>
      <c r="B5" s="16" t="inlineStr">
        <is>
          <t>TURP</t>
        </is>
      </c>
    </row>
    <row r="6">
      <c r="A6" s="15" t="inlineStr">
        <is>
          <t>Anaesthesia</t>
        </is>
      </c>
      <c r="B6" s="17" t="inlineStr">
        <is>
          <t>Spinal</t>
        </is>
      </c>
    </row>
    <row r="7">
      <c r="A7" s="15" t="inlineStr">
        <is>
          <t>OT Hours</t>
        </is>
      </c>
      <c r="B7" s="18" t="n">
        <v>2</v>
      </c>
    </row>
    <row r="8">
      <c r="A8" s="15" t="inlineStr">
        <is>
          <t>Bed Days</t>
        </is>
      </c>
      <c r="B8" s="18" t="n">
        <v>1</v>
      </c>
    </row>
    <row r="10" ht="20" customHeight="1">
      <c r="A10" s="19" t="inlineStr">
        <is>
          <t>A.  CONSUMABLES / MEDICINES</t>
        </is>
      </c>
    </row>
    <row r="11" ht="18" customHeight="1">
      <c r="A11" s="6" t="inlineStr">
        <is>
          <t>#</t>
        </is>
      </c>
      <c r="B11" s="6" t="inlineStr">
        <is>
          <t>Item Description</t>
        </is>
      </c>
      <c r="C11" s="6" t="inlineStr">
        <is>
          <t>Qty</t>
        </is>
      </c>
      <c r="D11" s="6" t="inlineStr">
        <is>
          <t>Rate (MRP ₹)</t>
        </is>
      </c>
      <c r="E11" s="6" t="inlineStr">
        <is>
          <t>Amount (₹)</t>
        </is>
      </c>
      <c r="F11" s="6" t="inlineStr">
        <is>
          <t>Notes</t>
        </is>
      </c>
    </row>
    <row r="12" ht="18" customHeight="1">
      <c r="A12" s="7" t="n">
        <v>1</v>
      </c>
      <c r="B12" s="9" t="inlineStr">
        <is>
          <t>IV Cannula 18G</t>
        </is>
      </c>
      <c r="C12" s="20" t="n">
        <v>1</v>
      </c>
      <c r="D12" s="21" t="n">
        <v>321</v>
      </c>
      <c r="E12" s="21">
        <f>C12*D12</f>
        <v/>
      </c>
      <c r="F12" s="22" t="inlineStr">
        <is>
          <t>SL47 / IV Cannula 18G / Venflon 18G</t>
        </is>
      </c>
    </row>
    <row r="13" ht="18" customHeight="1">
      <c r="A13" s="7" t="n">
        <v>2</v>
      </c>
      <c r="B13" s="9" t="inlineStr">
        <is>
          <t>Easyfix</t>
        </is>
      </c>
      <c r="C13" s="20" t="n">
        <v>1</v>
      </c>
      <c r="D13" s="21" t="n">
        <v>900</v>
      </c>
      <c r="E13" s="21">
        <f>C13*D13</f>
        <v/>
      </c>
      <c r="F13" s="22" t="inlineStr">
        <is>
          <t>SL48 / Easyfix (Adhesive Film Dressing)</t>
        </is>
      </c>
    </row>
    <row r="14" ht="18" customHeight="1">
      <c r="A14" s="7" t="n">
        <v>3</v>
      </c>
      <c r="B14" s="9" t="inlineStr">
        <is>
          <t>NS 500ml</t>
        </is>
      </c>
      <c r="C14" s="20" t="n">
        <v>2</v>
      </c>
      <c r="D14" s="21" t="n">
        <v>39.05</v>
      </c>
      <c r="E14" s="21">
        <f>C14*D14</f>
        <v/>
      </c>
      <c r="F14" s="22" t="inlineStr">
        <is>
          <t>SL1 / NS 500ml — Normal Saline</t>
        </is>
      </c>
    </row>
    <row r="15" ht="18" customHeight="1">
      <c r="A15" s="7" t="n">
        <v>4</v>
      </c>
      <c r="B15" s="9" t="inlineStr">
        <is>
          <t>NS 1000ml (Glycine sub)</t>
        </is>
      </c>
      <c r="C15" s="20" t="n">
        <v>3</v>
      </c>
      <c r="D15" s="21" t="n">
        <v>62.22</v>
      </c>
      <c r="E15" s="21">
        <f>C15*D15</f>
        <v/>
      </c>
      <c r="F15" s="22" t="inlineStr">
        <is>
          <t>SL2 / NS 1000ml — Normal Saline 1L</t>
        </is>
      </c>
    </row>
    <row r="16" ht="18" customHeight="1">
      <c r="A16" s="7" t="n">
        <v>5</v>
      </c>
      <c r="B16" s="9" t="inlineStr">
        <is>
          <t>NS 100ml</t>
        </is>
      </c>
      <c r="C16" s="20" t="n">
        <v>1</v>
      </c>
      <c r="D16" s="21" t="n">
        <v>21</v>
      </c>
      <c r="E16" s="21">
        <f>C16*D16</f>
        <v/>
      </c>
      <c r="F16" s="22" t="inlineStr">
        <is>
          <t>SL3 / NS 100ml — Normal Saline 100ml</t>
        </is>
      </c>
    </row>
    <row r="17" ht="18" customHeight="1">
      <c r="A17" s="7" t="n">
        <v>6</v>
      </c>
      <c r="B17" s="9" t="inlineStr">
        <is>
          <t>Syringe 10ml</t>
        </is>
      </c>
      <c r="C17" s="20" t="n">
        <v>2</v>
      </c>
      <c r="D17" s="21" t="n">
        <v>20</v>
      </c>
      <c r="E17" s="21">
        <f>C17*D17</f>
        <v/>
      </c>
      <c r="F17" s="22" t="inlineStr">
        <is>
          <t>SL56 / Syringe 10cc / 10ml</t>
        </is>
      </c>
    </row>
    <row r="18" ht="18" customHeight="1">
      <c r="A18" s="7" t="n">
        <v>7</v>
      </c>
      <c r="B18" s="9" t="inlineStr">
        <is>
          <t>Syringe 2ml</t>
        </is>
      </c>
      <c r="C18" s="20" t="n">
        <v>2</v>
      </c>
      <c r="D18" s="21" t="n">
        <v>6.04</v>
      </c>
      <c r="E18" s="21">
        <f>C18*D18</f>
        <v/>
      </c>
      <c r="F18" s="22" t="inlineStr">
        <is>
          <t>SL58 / Syringe 2cc / 2ml</t>
        </is>
      </c>
    </row>
    <row r="19" ht="18" customHeight="1">
      <c r="A19" s="7" t="n">
        <v>8</v>
      </c>
      <c r="B19" s="9" t="inlineStr">
        <is>
          <t>D. Water 10ml</t>
        </is>
      </c>
      <c r="C19" s="20" t="n">
        <v>2</v>
      </c>
      <c r="D19" s="21" t="n">
        <v>3.24</v>
      </c>
      <c r="E19" s="21">
        <f>C19*D19</f>
        <v/>
      </c>
      <c r="F19" s="22" t="inlineStr">
        <is>
          <t>SL59 / D. Water 10ml (Sterile Water)</t>
        </is>
      </c>
    </row>
    <row r="20" ht="18" customHeight="1">
      <c r="A20" s="7" t="n">
        <v>9</v>
      </c>
      <c r="B20" s="9" t="inlineStr">
        <is>
          <t>Inj. Anawin Heavy 0.75%</t>
        </is>
      </c>
      <c r="C20" s="20" t="n">
        <v>1</v>
      </c>
      <c r="D20" s="21" t="n">
        <v>31.47</v>
      </c>
      <c r="E20" s="21">
        <f>C20*D20</f>
        <v/>
      </c>
      <c r="F20" s="22" t="inlineStr">
        <is>
          <t>SL7 / Inj. Anawin Heavy 0.75%/4ml (Bupiva</t>
        </is>
      </c>
    </row>
    <row r="21" ht="18" customHeight="1">
      <c r="A21" s="7" t="n">
        <v>10</v>
      </c>
      <c r="B21" s="9" t="inlineStr">
        <is>
          <t>Inj. Atropine</t>
        </is>
      </c>
      <c r="C21" s="20" t="n">
        <v>1</v>
      </c>
      <c r="D21" s="21" t="n">
        <v>7.3</v>
      </c>
      <c r="E21" s="21">
        <f>C21*D21</f>
        <v/>
      </c>
      <c r="F21" s="22" t="inlineStr">
        <is>
          <t>SL11 / Inj. Atropine 1ml</t>
        </is>
      </c>
    </row>
    <row r="22" ht="18" customHeight="1">
      <c r="A22" s="7" t="n">
        <v>11</v>
      </c>
      <c r="B22" s="9" t="inlineStr">
        <is>
          <t>Foley's Catheter 20 No.</t>
        </is>
      </c>
      <c r="C22" s="20" t="n">
        <v>1</v>
      </c>
      <c r="D22" s="21" t="n">
        <v>192.5</v>
      </c>
      <c r="E22" s="21">
        <f>C22*D22</f>
        <v/>
      </c>
      <c r="F22" s="22" t="inlineStr">
        <is>
          <t>SL52 / Foley's Catheter 20 No.</t>
        </is>
      </c>
    </row>
    <row r="23" ht="18" customHeight="1">
      <c r="A23" s="7" t="n">
        <v>12</v>
      </c>
      <c r="B23" s="9" t="inlineStr">
        <is>
          <t>Uro Bag</t>
        </is>
      </c>
      <c r="C23" s="20" t="n">
        <v>1</v>
      </c>
      <c r="D23" s="21" t="n">
        <v>361</v>
      </c>
      <c r="E23" s="21">
        <f>C23*D23</f>
        <v/>
      </c>
      <c r="F23" s="22" t="inlineStr">
        <is>
          <t>SL49 / Uro Bag</t>
        </is>
      </c>
    </row>
    <row r="24" ht="18" customHeight="1">
      <c r="A24" s="7" t="n">
        <v>13</v>
      </c>
      <c r="B24" s="9" t="inlineStr">
        <is>
          <t>Betadine Lotion 100ml</t>
        </is>
      </c>
      <c r="C24" s="20" t="n">
        <v>1</v>
      </c>
      <c r="D24" s="21" t="n">
        <v>236.25</v>
      </c>
      <c r="E24" s="21">
        <f>C24*D24</f>
        <v/>
      </c>
      <c r="F24" s="22" t="inlineStr">
        <is>
          <t>SL69 / Betadine Lotion 100ml</t>
        </is>
      </c>
    </row>
    <row r="25" ht="18" customHeight="1">
      <c r="A25" s="7" t="n">
        <v>14</v>
      </c>
      <c r="B25" s="9" t="inlineStr">
        <is>
          <t>OT Mop / Abd Swab</t>
        </is>
      </c>
      <c r="C25" s="20" t="n">
        <v>1</v>
      </c>
      <c r="D25" s="21" t="n">
        <v>165</v>
      </c>
      <c r="E25" s="21">
        <f>C25*D25</f>
        <v/>
      </c>
      <c r="F25" s="22" t="inlineStr">
        <is>
          <t>SL64 / OT Mop / Abd. Swab</t>
        </is>
      </c>
    </row>
    <row r="26" ht="18" customHeight="1">
      <c r="A26" s="7" t="n">
        <v>15</v>
      </c>
      <c r="B26" s="9" t="inlineStr">
        <is>
          <t>Gloves 7.0 Sterile</t>
        </is>
      </c>
      <c r="C26" s="20" t="n">
        <v>2</v>
      </c>
      <c r="D26" s="21" t="n">
        <v>91</v>
      </c>
      <c r="E26" s="21">
        <f>C26*D26</f>
        <v/>
      </c>
      <c r="F26" s="22" t="inlineStr">
        <is>
          <t>SL65 / Gloves 7.0 (Sterile Surgical)</t>
        </is>
      </c>
    </row>
    <row r="27" ht="18" customHeight="1">
      <c r="A27" s="7" t="n">
        <v>16</v>
      </c>
      <c r="B27" s="9" t="inlineStr">
        <is>
          <t>Inj. Rantac (Ranitidine)</t>
        </is>
      </c>
      <c r="C27" s="20" t="n">
        <v>5</v>
      </c>
      <c r="D27" s="21" t="n">
        <v>7.48</v>
      </c>
      <c r="E27" s="21">
        <f>C27*D27</f>
        <v/>
      </c>
      <c r="F27" s="22" t="inlineStr">
        <is>
          <t>SL30 / Inj. Rantac (Ranitidine)</t>
        </is>
      </c>
    </row>
    <row r="28" ht="18" customHeight="1">
      <c r="A28" s="7" t="n">
        <v>17</v>
      </c>
      <c r="B28" s="9" t="inlineStr">
        <is>
          <t>Inj. Xone 1g</t>
        </is>
      </c>
      <c r="C28" s="20" t="n">
        <v>4</v>
      </c>
      <c r="D28" s="21" t="n">
        <v>66.64</v>
      </c>
      <c r="E28" s="21">
        <f>C28*D28</f>
        <v/>
      </c>
      <c r="F28" s="22" t="inlineStr">
        <is>
          <t>SL16 / Inj. Xone/Monocef 1g (Ceftriaxone)</t>
        </is>
      </c>
    </row>
    <row r="29" ht="18" customHeight="1">
      <c r="A29" s="7" t="n">
        <v>18</v>
      </c>
      <c r="B29" s="9" t="inlineStr">
        <is>
          <t>Inj. Ondem</t>
        </is>
      </c>
      <c r="C29" s="20" t="n">
        <v>2</v>
      </c>
      <c r="D29" s="21" t="n">
        <v>12.72</v>
      </c>
      <c r="E29" s="21">
        <f>C29*D29</f>
        <v/>
      </c>
      <c r="F29" s="22" t="inlineStr">
        <is>
          <t>SL29 / Inj. Ondem/Zofer/Zofar (Ondansetron</t>
        </is>
      </c>
    </row>
    <row r="30" ht="18" customHeight="1">
      <c r="A30" s="7" t="n">
        <v>19</v>
      </c>
      <c r="B30" s="9" t="inlineStr">
        <is>
          <t>Inj. Tramadol 50mg</t>
        </is>
      </c>
      <c r="C30" s="20" t="n">
        <v>1</v>
      </c>
      <c r="D30" s="21" t="n">
        <v>12.56</v>
      </c>
      <c r="E30" s="21">
        <f>C30*D30</f>
        <v/>
      </c>
      <c r="F30" s="22" t="inlineStr">
        <is>
          <t>SL25 / Inj. Tramadol 50mg</t>
        </is>
      </c>
    </row>
    <row r="31" ht="18" customHeight="1">
      <c r="A31" s="7" t="n">
        <v>20</v>
      </c>
      <c r="B31" s="9" t="inlineStr">
        <is>
          <t>Surgical Blade No. 10</t>
        </is>
      </c>
      <c r="C31" s="20" t="n">
        <v>1</v>
      </c>
      <c r="D31" s="21" t="n">
        <v>750</v>
      </c>
      <c r="E31" s="21">
        <f>C31*D31</f>
        <v/>
      </c>
      <c r="F31" s="22" t="inlineStr">
        <is>
          <t>SL81 / Surgical Blade No. 10</t>
        </is>
      </c>
    </row>
    <row r="32" ht="22" customHeight="1">
      <c r="A32" s="26" t="inlineStr">
        <is>
          <t>Consumables Sub-Total</t>
        </is>
      </c>
      <c r="E32" s="27">
        <f>SUMIF(E12:E31,"&gt;0",E12:E31)</f>
        <v/>
      </c>
      <c r="F32" s="33" t="inlineStr">
        <is>
          <t>All items priced ✓</t>
        </is>
      </c>
    </row>
    <row r="34" ht="20" customHeight="1">
      <c r="A34" s="19" t="inlineStr">
        <is>
          <t>B.  BED CHARGES  +  C.  OT CHARGES</t>
        </is>
      </c>
    </row>
    <row r="35" ht="16" customHeight="1">
      <c r="A35" s="6" t="inlineStr">
        <is>
          <t>Component</t>
        </is>
      </c>
      <c r="B35" s="6" t="inlineStr">
        <is>
          <t>Rate (₹)</t>
        </is>
      </c>
      <c r="C35" s="6" t="inlineStr">
        <is>
          <t>Units</t>
        </is>
      </c>
      <c r="D35" s="6" t="inlineStr">
        <is>
          <t>Amount (₹)</t>
        </is>
      </c>
      <c r="E35" s="6" t="inlineStr"/>
      <c r="F35" s="6" t="inlineStr"/>
    </row>
    <row r="36" ht="18" customHeight="1">
      <c r="A36" s="8" t="inlineStr">
        <is>
          <t>Bed Charge (₹/day) — Bed Days in B8</t>
        </is>
      </c>
      <c r="B36" s="21">
        <f>'RATES &amp; SUMMARY'!$B$4</f>
        <v/>
      </c>
      <c r="C36" s="28">
        <f>B8</f>
        <v/>
      </c>
      <c r="D36" s="29">
        <f>B36*C36</f>
        <v/>
      </c>
      <c r="E36" s="8" t="inlineStr"/>
      <c r="F36" s="8" t="inlineStr"/>
    </row>
    <row r="37" ht="18" customHeight="1">
      <c r="A37" s="8" t="inlineStr">
        <is>
          <t>OT Charge (₹/hr) — OT Hours in B7</t>
        </is>
      </c>
      <c r="B37" s="21">
        <f>'RATES &amp; SUMMARY'!$B$5</f>
        <v/>
      </c>
      <c r="C37" s="28">
        <f>B7</f>
        <v/>
      </c>
      <c r="D37" s="29">
        <f>B37*C37</f>
        <v/>
      </c>
      <c r="E37" s="8" t="inlineStr"/>
      <c r="F37" s="8" t="inlineStr"/>
    </row>
    <row r="39" ht="28" customHeight="1">
      <c r="A39" s="30" t="inlineStr">
        <is>
          <t>GRAND TOTAL</t>
        </is>
      </c>
      <c r="D39" s="31">
        <f>E32+D36+D37</f>
        <v/>
      </c>
      <c r="E39" s="32" t="inlineStr"/>
    </row>
    <row r="995">
      <c r="G995">
        <f>E32+D36+D37</f>
        <v/>
      </c>
    </row>
    <row r="996">
      <c r="G996">
        <f>D37</f>
        <v/>
      </c>
    </row>
    <row r="997">
      <c r="G997">
        <f>D36</f>
        <v/>
      </c>
    </row>
    <row r="999">
      <c r="E999">
        <f>E32</f>
        <v/>
      </c>
    </row>
  </sheetData>
  <mergeCells count="13">
    <mergeCell ref="B6:C6"/>
    <mergeCell ref="B2:C2"/>
    <mergeCell ref="A10:F10"/>
    <mergeCell ref="B7:C7"/>
    <mergeCell ref="A32:D32"/>
    <mergeCell ref="B3:C3"/>
    <mergeCell ref="B5:C5"/>
    <mergeCell ref="A1:F1"/>
    <mergeCell ref="A34:F34"/>
    <mergeCell ref="A39:C39"/>
    <mergeCell ref="B8:C8"/>
    <mergeCell ref="E39:F39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" customWidth="1" min="3" max="3"/>
    <col width="14" customWidth="1" min="4" max="4"/>
    <col width="14" customWidth="1" min="5" max="5"/>
    <col width="38" customWidth="1" min="6" max="6"/>
    <col width="1" customWidth="1" min="7" max="7"/>
  </cols>
  <sheetData>
    <row r="1" ht="26" customHeight="1">
      <c r="A1" s="14" t="inlineStr">
        <is>
          <t>BK ADITYA MULTISPECIALTY HOSPITAL — PATIENT BILL  #32</t>
        </is>
      </c>
    </row>
    <row r="2">
      <c r="A2" s="15" t="inlineStr">
        <is>
          <t>Patient Name</t>
        </is>
      </c>
      <c r="B2" s="16" t="inlineStr">
        <is>
          <t>Ripusudan Sankar</t>
        </is>
      </c>
    </row>
    <row r="3">
      <c r="A3" s="15" t="inlineStr">
        <is>
          <t>Date</t>
        </is>
      </c>
      <c r="B3" s="17" t="inlineStr">
        <is>
          <t>09/06/2026</t>
        </is>
      </c>
    </row>
    <row r="4">
      <c r="A4" s="15" t="inlineStr">
        <is>
          <t>Doctor</t>
        </is>
      </c>
      <c r="B4" s="17" t="inlineStr">
        <is>
          <t>Dr. S. Gupta</t>
        </is>
      </c>
    </row>
    <row r="5">
      <c r="A5" s="15" t="inlineStr">
        <is>
          <t>Procedure</t>
        </is>
      </c>
      <c r="B5" s="16" t="inlineStr">
        <is>
          <t>Cystoscopy</t>
        </is>
      </c>
    </row>
    <row r="6">
      <c r="A6" s="15" t="inlineStr">
        <is>
          <t>Anaesthesia</t>
        </is>
      </c>
      <c r="B6" s="17" t="inlineStr">
        <is>
          <t>Spinal</t>
        </is>
      </c>
    </row>
    <row r="7">
      <c r="A7" s="15" t="inlineStr">
        <is>
          <t>OT Hours</t>
        </is>
      </c>
      <c r="B7" s="18" t="n">
        <v>2</v>
      </c>
    </row>
    <row r="8">
      <c r="A8" s="15" t="inlineStr">
        <is>
          <t>Bed Days</t>
        </is>
      </c>
      <c r="B8" s="18" t="n">
        <v>1</v>
      </c>
    </row>
    <row r="10" ht="20" customHeight="1">
      <c r="A10" s="19" t="inlineStr">
        <is>
          <t>A.  CONSUMABLES / MEDICINES</t>
        </is>
      </c>
    </row>
    <row r="11" ht="18" customHeight="1">
      <c r="A11" s="6" t="inlineStr">
        <is>
          <t>#</t>
        </is>
      </c>
      <c r="B11" s="6" t="inlineStr">
        <is>
          <t>Item Description</t>
        </is>
      </c>
      <c r="C11" s="6" t="inlineStr">
        <is>
          <t>Qty</t>
        </is>
      </c>
      <c r="D11" s="6" t="inlineStr">
        <is>
          <t>Rate (MRP ₹)</t>
        </is>
      </c>
      <c r="E11" s="6" t="inlineStr">
        <is>
          <t>Amount (₹)</t>
        </is>
      </c>
      <c r="F11" s="6" t="inlineStr">
        <is>
          <t>Notes</t>
        </is>
      </c>
    </row>
    <row r="12" ht="18" customHeight="1">
      <c r="A12" s="7" t="n">
        <v>1</v>
      </c>
      <c r="B12" s="9" t="inlineStr">
        <is>
          <t>IV Cannula 20G</t>
        </is>
      </c>
      <c r="C12" s="20" t="n">
        <v>1</v>
      </c>
      <c r="D12" s="21" t="n">
        <v>202.55</v>
      </c>
      <c r="E12" s="21">
        <f>C12*D12</f>
        <v/>
      </c>
      <c r="F12" s="22" t="inlineStr">
        <is>
          <t>SL45 / IV Cannula 20G / Venflon 20G</t>
        </is>
      </c>
    </row>
    <row r="13" ht="18" customHeight="1">
      <c r="A13" s="7" t="n">
        <v>2</v>
      </c>
      <c r="B13" s="9" t="inlineStr">
        <is>
          <t>Easyfix</t>
        </is>
      </c>
      <c r="C13" s="20" t="n">
        <v>1</v>
      </c>
      <c r="D13" s="21" t="n">
        <v>900</v>
      </c>
      <c r="E13" s="21">
        <f>C13*D13</f>
        <v/>
      </c>
      <c r="F13" s="22" t="inlineStr">
        <is>
          <t>SL48 / Easyfix (Adhesive Film Dressing)</t>
        </is>
      </c>
    </row>
    <row r="14" ht="18" customHeight="1">
      <c r="A14" s="7" t="n">
        <v>3</v>
      </c>
      <c r="B14" s="9" t="inlineStr">
        <is>
          <t>NS 100ml</t>
        </is>
      </c>
      <c r="C14" s="20" t="n">
        <v>1</v>
      </c>
      <c r="D14" s="21" t="n">
        <v>21</v>
      </c>
      <c r="E14" s="21">
        <f>C14*D14</f>
        <v/>
      </c>
      <c r="F14" s="22" t="inlineStr">
        <is>
          <t>SL3 / NS 100ml — Normal Saline 100ml</t>
        </is>
      </c>
    </row>
    <row r="15" ht="18" customHeight="1">
      <c r="A15" s="7" t="n">
        <v>4</v>
      </c>
      <c r="B15" s="9" t="inlineStr">
        <is>
          <t>IV Set</t>
        </is>
      </c>
      <c r="C15" s="20" t="n">
        <v>1</v>
      </c>
      <c r="D15" s="21" t="n">
        <v>201</v>
      </c>
      <c r="E15" s="21">
        <f>C15*D15</f>
        <v/>
      </c>
      <c r="F15" s="22" t="inlineStr">
        <is>
          <t>SL44 / IV Set / Sangoflex</t>
        </is>
      </c>
    </row>
    <row r="16" ht="18" customHeight="1">
      <c r="A16" s="7" t="n">
        <v>5</v>
      </c>
      <c r="B16" s="9" t="inlineStr">
        <is>
          <t>NS 500ml</t>
        </is>
      </c>
      <c r="C16" s="20" t="n">
        <v>1</v>
      </c>
      <c r="D16" s="21" t="n">
        <v>39.05</v>
      </c>
      <c r="E16" s="21">
        <f>C16*D16</f>
        <v/>
      </c>
      <c r="F16" s="22" t="inlineStr">
        <is>
          <t>SL1 / NS 500ml — Normal Saline</t>
        </is>
      </c>
    </row>
    <row r="17" ht="18" customHeight="1">
      <c r="A17" s="7" t="n">
        <v>6</v>
      </c>
      <c r="B17" s="9" t="inlineStr">
        <is>
          <t>Gloves 7.0 Sterile</t>
        </is>
      </c>
      <c r="C17" s="20" t="n">
        <v>2</v>
      </c>
      <c r="D17" s="21" t="n">
        <v>91</v>
      </c>
      <c r="E17" s="21">
        <f>C17*D17</f>
        <v/>
      </c>
      <c r="F17" s="22" t="inlineStr">
        <is>
          <t>SL65 / Gloves 7.0 (Sterile Surgical)</t>
        </is>
      </c>
    </row>
    <row r="18" ht="18" customHeight="1">
      <c r="A18" s="7" t="n">
        <v>7</v>
      </c>
      <c r="B18" s="9" t="inlineStr">
        <is>
          <t>Betadine Lotion 100ml</t>
        </is>
      </c>
      <c r="C18" s="20" t="n">
        <v>1</v>
      </c>
      <c r="D18" s="21" t="n">
        <v>236.25</v>
      </c>
      <c r="E18" s="21">
        <f>C18*D18</f>
        <v/>
      </c>
      <c r="F18" s="22" t="inlineStr">
        <is>
          <t>SL69 / Betadine Lotion 100ml</t>
        </is>
      </c>
    </row>
    <row r="19" ht="22" customHeight="1">
      <c r="A19" s="26" t="inlineStr">
        <is>
          <t>Consumables Sub-Total</t>
        </is>
      </c>
      <c r="E19" s="27">
        <f>SUMIF(E12:E18,"&gt;0",E12:E18)</f>
        <v/>
      </c>
      <c r="F19" s="33" t="inlineStr">
        <is>
          <t>All items priced ✓</t>
        </is>
      </c>
    </row>
    <row r="21" ht="20" customHeight="1">
      <c r="A21" s="19" t="inlineStr">
        <is>
          <t>B.  BED CHARGES  +  C.  OT CHARGES</t>
        </is>
      </c>
    </row>
    <row r="22" ht="16" customHeight="1">
      <c r="A22" s="6" t="inlineStr">
        <is>
          <t>Component</t>
        </is>
      </c>
      <c r="B22" s="6" t="inlineStr">
        <is>
          <t>Rate (₹)</t>
        </is>
      </c>
      <c r="C22" s="6" t="inlineStr">
        <is>
          <t>Units</t>
        </is>
      </c>
      <c r="D22" s="6" t="inlineStr">
        <is>
          <t>Amount (₹)</t>
        </is>
      </c>
      <c r="E22" s="6" t="inlineStr"/>
      <c r="F22" s="6" t="inlineStr"/>
    </row>
    <row r="23" ht="18" customHeight="1">
      <c r="A23" s="8" t="inlineStr">
        <is>
          <t>Bed Charge (₹/day) — Bed Days in B8</t>
        </is>
      </c>
      <c r="B23" s="21">
        <f>'RATES &amp; SUMMARY'!$B$4</f>
        <v/>
      </c>
      <c r="C23" s="28">
        <f>B8</f>
        <v/>
      </c>
      <c r="D23" s="29">
        <f>B23*C23</f>
        <v/>
      </c>
      <c r="E23" s="8" t="inlineStr"/>
      <c r="F23" s="8" t="inlineStr"/>
    </row>
    <row r="24" ht="18" customHeight="1">
      <c r="A24" s="8" t="inlineStr">
        <is>
          <t>OT Charge (₹/hr) — OT Hours in B7</t>
        </is>
      </c>
      <c r="B24" s="21">
        <f>'RATES &amp; SUMMARY'!$B$5</f>
        <v/>
      </c>
      <c r="C24" s="28">
        <f>B7</f>
        <v/>
      </c>
      <c r="D24" s="29">
        <f>B24*C24</f>
        <v/>
      </c>
      <c r="E24" s="8" t="inlineStr"/>
      <c r="F24" s="8" t="inlineStr"/>
    </row>
    <row r="26" ht="28" customHeight="1">
      <c r="A26" s="30" t="inlineStr">
        <is>
          <t>GRAND TOTAL</t>
        </is>
      </c>
      <c r="D26" s="31">
        <f>E19+D23+D24</f>
        <v/>
      </c>
      <c r="E26" s="32" t="inlineStr"/>
    </row>
    <row r="995">
      <c r="G995">
        <f>E19+D23+D24</f>
        <v/>
      </c>
    </row>
    <row r="996">
      <c r="G996">
        <f>D24</f>
        <v/>
      </c>
    </row>
    <row r="997">
      <c r="G997">
        <f>D23</f>
        <v/>
      </c>
    </row>
    <row r="999">
      <c r="E999">
        <f>E19</f>
        <v/>
      </c>
    </row>
  </sheetData>
  <mergeCells count="13">
    <mergeCell ref="B6:C6"/>
    <mergeCell ref="B2:C2"/>
    <mergeCell ref="A10:F10"/>
    <mergeCell ref="B7:C7"/>
    <mergeCell ref="B3:C3"/>
    <mergeCell ref="B5:C5"/>
    <mergeCell ref="A1:F1"/>
    <mergeCell ref="E26:F26"/>
    <mergeCell ref="A19:D19"/>
    <mergeCell ref="A21:F21"/>
    <mergeCell ref="B8:C8"/>
    <mergeCell ref="A26:C26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" customWidth="1" min="3" max="3"/>
    <col width="14" customWidth="1" min="4" max="4"/>
    <col width="14" customWidth="1" min="5" max="5"/>
    <col width="38" customWidth="1" min="6" max="6"/>
    <col width="1" customWidth="1" min="7" max="7"/>
  </cols>
  <sheetData>
    <row r="1" ht="26" customHeight="1">
      <c r="A1" s="14" t="inlineStr">
        <is>
          <t>BK ADITYA MULTISPECIALTY HOSPITAL — PATIENT BILL  #33</t>
        </is>
      </c>
    </row>
    <row r="2">
      <c r="A2" s="15" t="inlineStr">
        <is>
          <t>Patient Name</t>
        </is>
      </c>
      <c r="B2" s="16" t="inlineStr">
        <is>
          <t>Sahid Ali Joddar</t>
        </is>
      </c>
    </row>
    <row r="3">
      <c r="A3" s="15" t="inlineStr">
        <is>
          <t>Date</t>
        </is>
      </c>
      <c r="B3" s="17" t="inlineStr">
        <is>
          <t>12/06/2026</t>
        </is>
      </c>
    </row>
    <row r="4">
      <c r="A4" s="15" t="inlineStr">
        <is>
          <t>Doctor</t>
        </is>
      </c>
      <c r="B4" s="17" t="inlineStr">
        <is>
          <t>Dr. S. Gupta</t>
        </is>
      </c>
    </row>
    <row r="5">
      <c r="A5" s="15" t="inlineStr">
        <is>
          <t>Procedure</t>
        </is>
      </c>
      <c r="B5" s="16" t="inlineStr">
        <is>
          <t>TWA</t>
        </is>
      </c>
    </row>
    <row r="6">
      <c r="A6" s="15" t="inlineStr">
        <is>
          <t>Anaesthesia</t>
        </is>
      </c>
      <c r="B6" s="17" t="inlineStr">
        <is>
          <t>General</t>
        </is>
      </c>
    </row>
    <row r="7">
      <c r="A7" s="15" t="inlineStr">
        <is>
          <t>OT Hours</t>
        </is>
      </c>
      <c r="B7" s="18" t="n">
        <v>1</v>
      </c>
    </row>
    <row r="8">
      <c r="A8" s="15" t="inlineStr">
        <is>
          <t>Bed Days</t>
        </is>
      </c>
      <c r="B8" s="18" t="n">
        <v>1</v>
      </c>
    </row>
    <row r="10" ht="20" customHeight="1">
      <c r="A10" s="19" t="inlineStr">
        <is>
          <t>A.  CONSUMABLES / MEDICINES</t>
        </is>
      </c>
    </row>
    <row r="11" ht="18" customHeight="1">
      <c r="A11" s="6" t="inlineStr">
        <is>
          <t>#</t>
        </is>
      </c>
      <c r="B11" s="6" t="inlineStr">
        <is>
          <t>Item Description</t>
        </is>
      </c>
      <c r="C11" s="6" t="inlineStr">
        <is>
          <t>Qty</t>
        </is>
      </c>
      <c r="D11" s="6" t="inlineStr">
        <is>
          <t>Rate (MRP ₹)</t>
        </is>
      </c>
      <c r="E11" s="6" t="inlineStr">
        <is>
          <t>Amount (₹)</t>
        </is>
      </c>
      <c r="F11" s="6" t="inlineStr">
        <is>
          <t>Notes</t>
        </is>
      </c>
    </row>
    <row r="12" ht="18" customHeight="1">
      <c r="A12" s="7" t="n">
        <v>1</v>
      </c>
      <c r="B12" s="9" t="inlineStr">
        <is>
          <t>IV Cannula 20G</t>
        </is>
      </c>
      <c r="C12" s="20" t="n">
        <v>1</v>
      </c>
      <c r="D12" s="21" t="n">
        <v>202.55</v>
      </c>
      <c r="E12" s="21">
        <f>C12*D12</f>
        <v/>
      </c>
      <c r="F12" s="22" t="inlineStr">
        <is>
          <t>SL45 / IV Cannula 20G / Venflon 20G</t>
        </is>
      </c>
    </row>
    <row r="13" ht="18" customHeight="1">
      <c r="A13" s="7" t="n">
        <v>2</v>
      </c>
      <c r="B13" s="9" t="inlineStr">
        <is>
          <t>Easyfix</t>
        </is>
      </c>
      <c r="C13" s="20" t="n">
        <v>1</v>
      </c>
      <c r="D13" s="21" t="n">
        <v>900</v>
      </c>
      <c r="E13" s="21">
        <f>C13*D13</f>
        <v/>
      </c>
      <c r="F13" s="22" t="inlineStr">
        <is>
          <t>SL48 / Easyfix (Adhesive Film Dressing)</t>
        </is>
      </c>
    </row>
    <row r="14" ht="18" customHeight="1">
      <c r="A14" s="7" t="n">
        <v>3</v>
      </c>
      <c r="B14" s="9" t="inlineStr">
        <is>
          <t>D. Water 10ml</t>
        </is>
      </c>
      <c r="C14" s="20" t="n">
        <v>1</v>
      </c>
      <c r="D14" s="21" t="n">
        <v>3.24</v>
      </c>
      <c r="E14" s="21">
        <f>C14*D14</f>
        <v/>
      </c>
      <c r="F14" s="22" t="inlineStr">
        <is>
          <t>SL59 / D. Water 10ml (Sterile Water)</t>
        </is>
      </c>
    </row>
    <row r="15" ht="18" customHeight="1">
      <c r="A15" s="7" t="n">
        <v>4</v>
      </c>
      <c r="B15" s="9" t="inlineStr">
        <is>
          <t>Syringe 5ml</t>
        </is>
      </c>
      <c r="C15" s="20" t="n">
        <v>1</v>
      </c>
      <c r="D15" s="21" t="n">
        <v>10.23</v>
      </c>
      <c r="E15" s="21">
        <f>C15*D15</f>
        <v/>
      </c>
      <c r="F15" s="22" t="inlineStr">
        <is>
          <t>SL57 / Syringe 5cc / 5ml</t>
        </is>
      </c>
    </row>
    <row r="16" ht="18" customHeight="1">
      <c r="A16" s="7" t="n">
        <v>5</v>
      </c>
      <c r="B16" s="9" t="inlineStr">
        <is>
          <t>NS 500ml</t>
        </is>
      </c>
      <c r="C16" s="20" t="n">
        <v>1</v>
      </c>
      <c r="D16" s="21" t="n">
        <v>39.05</v>
      </c>
      <c r="E16" s="21">
        <f>C16*D16</f>
        <v/>
      </c>
      <c r="F16" s="22" t="inlineStr">
        <is>
          <t>SL1 / NS 500ml — Normal Saline</t>
        </is>
      </c>
    </row>
    <row r="17" ht="18" customHeight="1">
      <c r="A17" s="7" t="n">
        <v>6</v>
      </c>
      <c r="B17" s="9" t="inlineStr">
        <is>
          <t>Betadine Lotion 50ml</t>
        </is>
      </c>
      <c r="C17" s="20" t="n">
        <v>1</v>
      </c>
      <c r="D17" s="21" t="n">
        <v>118.13</v>
      </c>
      <c r="E17" s="21">
        <f>C17*D17</f>
        <v/>
      </c>
      <c r="F17" s="22" t="inlineStr">
        <is>
          <t>SL70 / Betadine Lotion 50ml</t>
        </is>
      </c>
    </row>
    <row r="18" ht="22" customHeight="1">
      <c r="A18" s="26" t="inlineStr">
        <is>
          <t>Consumables Sub-Total</t>
        </is>
      </c>
      <c r="E18" s="27">
        <f>SUMIF(E12:E17,"&gt;0",E12:E17)</f>
        <v/>
      </c>
      <c r="F18" s="33" t="inlineStr">
        <is>
          <t>All items priced ✓</t>
        </is>
      </c>
    </row>
    <row r="20" ht="20" customHeight="1">
      <c r="A20" s="19" t="inlineStr">
        <is>
          <t>B.  BED CHARGES  +  C.  OT CHARGES</t>
        </is>
      </c>
    </row>
    <row r="21" ht="16" customHeight="1">
      <c r="A21" s="6" t="inlineStr">
        <is>
          <t>Component</t>
        </is>
      </c>
      <c r="B21" s="6" t="inlineStr">
        <is>
          <t>Rate (₹)</t>
        </is>
      </c>
      <c r="C21" s="6" t="inlineStr">
        <is>
          <t>Units</t>
        </is>
      </c>
      <c r="D21" s="6" t="inlineStr">
        <is>
          <t>Amount (₹)</t>
        </is>
      </c>
      <c r="E21" s="6" t="inlineStr"/>
      <c r="F21" s="6" t="inlineStr"/>
    </row>
    <row r="22" ht="18" customHeight="1">
      <c r="A22" s="8" t="inlineStr">
        <is>
          <t>Bed Charge (₹/day) — Bed Days in B8</t>
        </is>
      </c>
      <c r="B22" s="21">
        <f>'RATES &amp; SUMMARY'!$B$4</f>
        <v/>
      </c>
      <c r="C22" s="28">
        <f>B8</f>
        <v/>
      </c>
      <c r="D22" s="29">
        <f>B22*C22</f>
        <v/>
      </c>
      <c r="E22" s="8" t="inlineStr"/>
      <c r="F22" s="8" t="inlineStr"/>
    </row>
    <row r="23" ht="18" customHeight="1">
      <c r="A23" s="8" t="inlineStr">
        <is>
          <t>OT Charge (₹/hr) — OT Hours in B7</t>
        </is>
      </c>
      <c r="B23" s="21">
        <f>'RATES &amp; SUMMARY'!$B$5</f>
        <v/>
      </c>
      <c r="C23" s="28">
        <f>B7</f>
        <v/>
      </c>
      <c r="D23" s="29">
        <f>B23*C23</f>
        <v/>
      </c>
      <c r="E23" s="8" t="inlineStr"/>
      <c r="F23" s="8" t="inlineStr"/>
    </row>
    <row r="25" ht="28" customHeight="1">
      <c r="A25" s="30" t="inlineStr">
        <is>
          <t>GRAND TOTAL</t>
        </is>
      </c>
      <c r="D25" s="31">
        <f>E18+D22+D23</f>
        <v/>
      </c>
      <c r="E25" s="32" t="inlineStr"/>
    </row>
    <row r="995">
      <c r="G995">
        <f>E18+D22+D23</f>
        <v/>
      </c>
    </row>
    <row r="996">
      <c r="G996">
        <f>D23</f>
        <v/>
      </c>
    </row>
    <row r="997">
      <c r="G997">
        <f>D22</f>
        <v/>
      </c>
    </row>
    <row r="999">
      <c r="E999">
        <f>E18</f>
        <v/>
      </c>
    </row>
  </sheetData>
  <mergeCells count="13">
    <mergeCell ref="A25:C25"/>
    <mergeCell ref="B6:C6"/>
    <mergeCell ref="A18:D18"/>
    <mergeCell ref="B2:C2"/>
    <mergeCell ref="A10:F10"/>
    <mergeCell ref="B7:C7"/>
    <mergeCell ref="B3:C3"/>
    <mergeCell ref="B5:C5"/>
    <mergeCell ref="A1:F1"/>
    <mergeCell ref="E25:F25"/>
    <mergeCell ref="A20:F20"/>
    <mergeCell ref="B8:C8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" customWidth="1" min="3" max="3"/>
    <col width="14" customWidth="1" min="4" max="4"/>
    <col width="14" customWidth="1" min="5" max="5"/>
    <col width="38" customWidth="1" min="6" max="6"/>
    <col width="1" customWidth="1" min="7" max="7"/>
  </cols>
  <sheetData>
    <row r="1" ht="26" customHeight="1">
      <c r="A1" s="14" t="inlineStr">
        <is>
          <t>BK ADITYA MULTISPECIALTY HOSPITAL — PATIENT BILL  #34</t>
        </is>
      </c>
    </row>
    <row r="2">
      <c r="A2" s="15" t="inlineStr">
        <is>
          <t>Patient Name</t>
        </is>
      </c>
      <c r="B2" s="16" t="inlineStr">
        <is>
          <t>Khogen Naskar</t>
        </is>
      </c>
    </row>
    <row r="3">
      <c r="A3" s="15" t="inlineStr">
        <is>
          <t>Date</t>
        </is>
      </c>
      <c r="B3" s="17" t="inlineStr">
        <is>
          <t>12/06/2026</t>
        </is>
      </c>
    </row>
    <row r="4">
      <c r="A4" s="15" t="inlineStr">
        <is>
          <t>Doctor</t>
        </is>
      </c>
      <c r="B4" s="17" t="inlineStr">
        <is>
          <t>Dr. S. Gupta</t>
        </is>
      </c>
    </row>
    <row r="5">
      <c r="A5" s="15" t="inlineStr">
        <is>
          <t>Procedure</t>
        </is>
      </c>
      <c r="B5" s="16" t="inlineStr">
        <is>
          <t>Cystoscopy</t>
        </is>
      </c>
    </row>
    <row r="6">
      <c r="A6" s="15" t="inlineStr">
        <is>
          <t>Anaesthesia</t>
        </is>
      </c>
      <c r="B6" s="17" t="inlineStr">
        <is>
          <t>Spinal</t>
        </is>
      </c>
    </row>
    <row r="7">
      <c r="A7" s="15" t="inlineStr">
        <is>
          <t>OT Hours</t>
        </is>
      </c>
      <c r="B7" s="18" t="n">
        <v>1</v>
      </c>
    </row>
    <row r="8">
      <c r="A8" s="15" t="inlineStr">
        <is>
          <t>Bed Days</t>
        </is>
      </c>
      <c r="B8" s="18" t="n">
        <v>2</v>
      </c>
    </row>
    <row r="10" ht="20" customHeight="1">
      <c r="A10" s="19" t="inlineStr">
        <is>
          <t>A.  CONSUMABLES / MEDICINES</t>
        </is>
      </c>
    </row>
    <row r="11" ht="18" customHeight="1">
      <c r="A11" s="6" t="inlineStr">
        <is>
          <t>#</t>
        </is>
      </c>
      <c r="B11" s="6" t="inlineStr">
        <is>
          <t>Item Description</t>
        </is>
      </c>
      <c r="C11" s="6" t="inlineStr">
        <is>
          <t>Qty</t>
        </is>
      </c>
      <c r="D11" s="6" t="inlineStr">
        <is>
          <t>Rate (MRP ₹)</t>
        </is>
      </c>
      <c r="E11" s="6" t="inlineStr">
        <is>
          <t>Amount (₹)</t>
        </is>
      </c>
      <c r="F11" s="6" t="inlineStr">
        <is>
          <t>Notes</t>
        </is>
      </c>
    </row>
    <row r="12" ht="18" customHeight="1">
      <c r="A12" s="7" t="n">
        <v>1</v>
      </c>
      <c r="B12" s="9" t="inlineStr">
        <is>
          <t>IV Cannula 20G</t>
        </is>
      </c>
      <c r="C12" s="20" t="n">
        <v>1</v>
      </c>
      <c r="D12" s="21" t="n">
        <v>202.55</v>
      </c>
      <c r="E12" s="21">
        <f>C12*D12</f>
        <v/>
      </c>
      <c r="F12" s="22" t="inlineStr">
        <is>
          <t>SL45 / IV Cannula 20G / Venflon 20G</t>
        </is>
      </c>
    </row>
    <row r="13" ht="18" customHeight="1">
      <c r="A13" s="7" t="n">
        <v>2</v>
      </c>
      <c r="B13" s="9" t="inlineStr">
        <is>
          <t>Inj. Ondem</t>
        </is>
      </c>
      <c r="C13" s="20" t="n">
        <v>1</v>
      </c>
      <c r="D13" s="21" t="n">
        <v>12.72</v>
      </c>
      <c r="E13" s="21">
        <f>C13*D13</f>
        <v/>
      </c>
      <c r="F13" s="22" t="inlineStr">
        <is>
          <t>SL29 / Inj. Ondem/Zofer/Zofar (Ondansetron</t>
        </is>
      </c>
    </row>
    <row r="14" ht="18" customHeight="1">
      <c r="A14" s="7" t="n">
        <v>3</v>
      </c>
      <c r="B14" s="9" t="inlineStr">
        <is>
          <t>Inj. Pan IV</t>
        </is>
      </c>
      <c r="C14" s="20" t="n">
        <v>1</v>
      </c>
      <c r="D14" s="21" t="n">
        <v>53.9</v>
      </c>
      <c r="E14" s="21">
        <f>C14*D14</f>
        <v/>
      </c>
      <c r="F14" s="22" t="inlineStr">
        <is>
          <t>SL33 / Inj. Pan 40 / Pantocid (Pantoprazol</t>
        </is>
      </c>
    </row>
    <row r="15" ht="18" customHeight="1">
      <c r="A15" s="7" t="n">
        <v>4</v>
      </c>
      <c r="B15" s="9" t="inlineStr">
        <is>
          <t>Inj. MEM (Meropenem)</t>
        </is>
      </c>
      <c r="C15" s="20" t="n">
        <v>1</v>
      </c>
      <c r="D15" s="21" t="n">
        <v>15.9</v>
      </c>
      <c r="E15" s="21">
        <f>C15*D15</f>
        <v/>
      </c>
      <c r="F15" s="22" t="inlineStr">
        <is>
          <t>SL18 / Inj. MEM (Meropenem)</t>
        </is>
      </c>
    </row>
    <row r="16" ht="18" customHeight="1">
      <c r="A16" s="7" t="n">
        <v>5</v>
      </c>
      <c r="B16" s="9" t="inlineStr">
        <is>
          <t>Syringe 10ml</t>
        </is>
      </c>
      <c r="C16" s="20" t="n">
        <v>1</v>
      </c>
      <c r="D16" s="21" t="n">
        <v>20</v>
      </c>
      <c r="E16" s="21">
        <f>C16*D16</f>
        <v/>
      </c>
      <c r="F16" s="22" t="inlineStr">
        <is>
          <t>SL56 / Syringe 10cc / 10ml</t>
        </is>
      </c>
    </row>
    <row r="17" ht="18" customHeight="1">
      <c r="A17" s="7" t="n">
        <v>6</v>
      </c>
      <c r="B17" s="9" t="inlineStr">
        <is>
          <t>Easyfix</t>
        </is>
      </c>
      <c r="C17" s="20" t="n">
        <v>1</v>
      </c>
      <c r="D17" s="21" t="n">
        <v>900</v>
      </c>
      <c r="E17" s="21">
        <f>C17*D17</f>
        <v/>
      </c>
      <c r="F17" s="22" t="inlineStr">
        <is>
          <t>SL48 / Easyfix (Adhesive Film Dressing)</t>
        </is>
      </c>
    </row>
    <row r="18" ht="18" customHeight="1">
      <c r="A18" s="7" t="n">
        <v>7</v>
      </c>
      <c r="B18" s="9" t="inlineStr">
        <is>
          <t>IV Set</t>
        </is>
      </c>
      <c r="C18" s="20" t="n">
        <v>1</v>
      </c>
      <c r="D18" s="21" t="n">
        <v>201</v>
      </c>
      <c r="E18" s="21">
        <f>C18*D18</f>
        <v/>
      </c>
      <c r="F18" s="22" t="inlineStr">
        <is>
          <t>SL44 / IV Set / Sangoflex</t>
        </is>
      </c>
    </row>
    <row r="19" ht="18" customHeight="1">
      <c r="A19" s="7" t="n">
        <v>8</v>
      </c>
      <c r="B19" s="9" t="inlineStr">
        <is>
          <t>NS 100ml</t>
        </is>
      </c>
      <c r="C19" s="20" t="n">
        <v>1</v>
      </c>
      <c r="D19" s="21" t="n">
        <v>21</v>
      </c>
      <c r="E19" s="21">
        <f>C19*D19</f>
        <v/>
      </c>
      <c r="F19" s="22" t="inlineStr">
        <is>
          <t>SL3 / NS 100ml — Normal Saline 100ml</t>
        </is>
      </c>
    </row>
    <row r="20" ht="18" customHeight="1">
      <c r="A20" s="7" t="n">
        <v>9</v>
      </c>
      <c r="B20" s="9" t="inlineStr">
        <is>
          <t>Cap + Mask Set</t>
        </is>
      </c>
      <c r="C20" s="20" t="n">
        <v>1</v>
      </c>
      <c r="D20" s="23" t="inlineStr">
        <is>
          <t>⚠ ENTER MRP</t>
        </is>
      </c>
      <c r="E20" s="24" t="n">
        <v>0</v>
      </c>
      <c r="F20" s="25" t="inlineStr">
        <is>
          <t>SL86 — MRP missing, enter manually</t>
        </is>
      </c>
    </row>
    <row r="21" ht="18" customHeight="1">
      <c r="A21" s="7" t="n">
        <v>10</v>
      </c>
      <c r="B21" s="9" t="inlineStr">
        <is>
          <t>Betadine Lotion 100ml</t>
        </is>
      </c>
      <c r="C21" s="20" t="n">
        <v>1</v>
      </c>
      <c r="D21" s="21" t="n">
        <v>236.25</v>
      </c>
      <c r="E21" s="21">
        <f>C21*D21</f>
        <v/>
      </c>
      <c r="F21" s="22" t="inlineStr">
        <is>
          <t>SL69 / Betadine Lotion 100ml</t>
        </is>
      </c>
    </row>
    <row r="22" ht="22" customHeight="1">
      <c r="A22" s="26" t="inlineStr">
        <is>
          <t>Consumables Sub-Total</t>
        </is>
      </c>
      <c r="E22" s="27">
        <f>SUMIF(E12:E21,"&gt;0",E12:E21)</f>
        <v/>
      </c>
      <c r="F22" s="25" t="inlineStr">
        <is>
          <t>⚠ 1 item(s) need MRP — total partial</t>
        </is>
      </c>
    </row>
    <row r="24" ht="20" customHeight="1">
      <c r="A24" s="19" t="inlineStr">
        <is>
          <t>B.  BED CHARGES  +  C.  OT CHARGES</t>
        </is>
      </c>
    </row>
    <row r="25" ht="16" customHeight="1">
      <c r="A25" s="6" t="inlineStr">
        <is>
          <t>Component</t>
        </is>
      </c>
      <c r="B25" s="6" t="inlineStr">
        <is>
          <t>Rate (₹)</t>
        </is>
      </c>
      <c r="C25" s="6" t="inlineStr">
        <is>
          <t>Units</t>
        </is>
      </c>
      <c r="D25" s="6" t="inlineStr">
        <is>
          <t>Amount (₹)</t>
        </is>
      </c>
      <c r="E25" s="6" t="inlineStr"/>
      <c r="F25" s="6" t="inlineStr"/>
    </row>
    <row r="26" ht="18" customHeight="1">
      <c r="A26" s="8" t="inlineStr">
        <is>
          <t>Bed Charge (₹/day) — Bed Days in B8</t>
        </is>
      </c>
      <c r="B26" s="21">
        <f>'RATES &amp; SUMMARY'!$B$4</f>
        <v/>
      </c>
      <c r="C26" s="28">
        <f>B8</f>
        <v/>
      </c>
      <c r="D26" s="29">
        <f>B26*C26</f>
        <v/>
      </c>
      <c r="E26" s="8" t="inlineStr"/>
      <c r="F26" s="8" t="inlineStr"/>
    </row>
    <row r="27" ht="18" customHeight="1">
      <c r="A27" s="8" t="inlineStr">
        <is>
          <t>OT Charge (₹/hr) — OT Hours in B7</t>
        </is>
      </c>
      <c r="B27" s="21">
        <f>'RATES &amp; SUMMARY'!$B$5</f>
        <v/>
      </c>
      <c r="C27" s="28">
        <f>B7</f>
        <v/>
      </c>
      <c r="D27" s="29">
        <f>B27*C27</f>
        <v/>
      </c>
      <c r="E27" s="8" t="inlineStr"/>
      <c r="F27" s="8" t="inlineStr"/>
    </row>
    <row r="29" ht="28" customHeight="1">
      <c r="A29" s="30" t="inlineStr">
        <is>
          <t>GRAND TOTAL</t>
        </is>
      </c>
      <c r="D29" s="31">
        <f>E22+D26+D27</f>
        <v/>
      </c>
      <c r="E29" s="32" t="inlineStr"/>
    </row>
    <row r="995">
      <c r="G995">
        <f>E22+D26+D27</f>
        <v/>
      </c>
    </row>
    <row r="996">
      <c r="G996">
        <f>D27</f>
        <v/>
      </c>
    </row>
    <row r="997">
      <c r="G997">
        <f>D26</f>
        <v/>
      </c>
    </row>
    <row r="999">
      <c r="E999">
        <f>E22</f>
        <v/>
      </c>
    </row>
  </sheetData>
  <mergeCells count="13">
    <mergeCell ref="A24:F24"/>
    <mergeCell ref="B6:C6"/>
    <mergeCell ref="B2:C2"/>
    <mergeCell ref="A10:F10"/>
    <mergeCell ref="B7:C7"/>
    <mergeCell ref="A22:D22"/>
    <mergeCell ref="E29:F29"/>
    <mergeCell ref="B3:C3"/>
    <mergeCell ref="B5:C5"/>
    <mergeCell ref="A1:F1"/>
    <mergeCell ref="A29:C29"/>
    <mergeCell ref="B8:C8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" customWidth="1" min="3" max="3"/>
    <col width="14" customWidth="1" min="4" max="4"/>
    <col width="14" customWidth="1" min="5" max="5"/>
    <col width="38" customWidth="1" min="6" max="6"/>
    <col width="1" customWidth="1" min="7" max="7"/>
  </cols>
  <sheetData>
    <row r="1" ht="26" customHeight="1">
      <c r="A1" s="14" t="inlineStr">
        <is>
          <t>BK ADITYA MULTISPECIALTY HOSPITAL — PATIENT BILL  #35</t>
        </is>
      </c>
    </row>
    <row r="2">
      <c r="A2" s="15" t="inlineStr">
        <is>
          <t>Patient Name</t>
        </is>
      </c>
      <c r="B2" s="16" t="inlineStr">
        <is>
          <t>Rahima Bibi Malla</t>
        </is>
      </c>
    </row>
    <row r="3">
      <c r="A3" s="15" t="inlineStr">
        <is>
          <t>Date</t>
        </is>
      </c>
      <c r="B3" s="17" t="inlineStr">
        <is>
          <t>15/06/2026</t>
        </is>
      </c>
    </row>
    <row r="4">
      <c r="A4" s="15" t="inlineStr">
        <is>
          <t>Doctor</t>
        </is>
      </c>
      <c r="B4" s="17" t="inlineStr">
        <is>
          <t>Dr. S. Gupta</t>
        </is>
      </c>
    </row>
    <row r="5">
      <c r="A5" s="15" t="inlineStr">
        <is>
          <t>Procedure</t>
        </is>
      </c>
      <c r="B5" s="16" t="inlineStr">
        <is>
          <t>STG (OT) + Ward</t>
        </is>
      </c>
    </row>
    <row r="6">
      <c r="A6" s="15" t="inlineStr">
        <is>
          <t>Anaesthesia</t>
        </is>
      </c>
      <c r="B6" s="17" t="inlineStr">
        <is>
          <t>Spinal</t>
        </is>
      </c>
    </row>
    <row r="7">
      <c r="A7" s="15" t="inlineStr">
        <is>
          <t>OT Hours</t>
        </is>
      </c>
      <c r="B7" s="18" t="n">
        <v>1</v>
      </c>
    </row>
    <row r="8">
      <c r="A8" s="15" t="inlineStr">
        <is>
          <t>Bed Days</t>
        </is>
      </c>
      <c r="B8" s="18" t="n">
        <v>1</v>
      </c>
    </row>
    <row r="10" ht="20" customHeight="1">
      <c r="A10" s="19" t="inlineStr">
        <is>
          <t>A.  CONSUMABLES / MEDICINES</t>
        </is>
      </c>
    </row>
    <row r="11" ht="18" customHeight="1">
      <c r="A11" s="6" t="inlineStr">
        <is>
          <t>#</t>
        </is>
      </c>
      <c r="B11" s="6" t="inlineStr">
        <is>
          <t>Item Description</t>
        </is>
      </c>
      <c r="C11" s="6" t="inlineStr">
        <is>
          <t>Qty</t>
        </is>
      </c>
      <c r="D11" s="6" t="inlineStr">
        <is>
          <t>Rate (MRP ₹)</t>
        </is>
      </c>
      <c r="E11" s="6" t="inlineStr">
        <is>
          <t>Amount (₹)</t>
        </is>
      </c>
      <c r="F11" s="6" t="inlineStr">
        <is>
          <t>Notes</t>
        </is>
      </c>
    </row>
    <row r="12" ht="18" customHeight="1">
      <c r="A12" s="7" t="n">
        <v>1</v>
      </c>
      <c r="B12" s="9" t="inlineStr">
        <is>
          <t>NS 500ml</t>
        </is>
      </c>
      <c r="C12" s="20" t="n">
        <v>5</v>
      </c>
      <c r="D12" s="21" t="n">
        <v>39.05</v>
      </c>
      <c r="E12" s="21">
        <f>C12*D12</f>
        <v/>
      </c>
      <c r="F12" s="22" t="inlineStr">
        <is>
          <t>SL1 / NS 500ml — Normal Saline</t>
        </is>
      </c>
    </row>
    <row r="13" ht="18" customHeight="1">
      <c r="A13" s="7" t="n">
        <v>2</v>
      </c>
      <c r="B13" s="9" t="inlineStr">
        <is>
          <t>NS 100ml</t>
        </is>
      </c>
      <c r="C13" s="20" t="n">
        <v>5</v>
      </c>
      <c r="D13" s="21" t="n">
        <v>21</v>
      </c>
      <c r="E13" s="21">
        <f>C13*D13</f>
        <v/>
      </c>
      <c r="F13" s="22" t="inlineStr">
        <is>
          <t>SL3 / NS 100ml — Normal Saline 100ml</t>
        </is>
      </c>
    </row>
    <row r="14" ht="18" customHeight="1">
      <c r="A14" s="7" t="n">
        <v>3</v>
      </c>
      <c r="B14" s="9" t="inlineStr">
        <is>
          <t>NS 1000ml</t>
        </is>
      </c>
      <c r="C14" s="20" t="n">
        <v>2</v>
      </c>
      <c r="D14" s="21" t="n">
        <v>62.22</v>
      </c>
      <c r="E14" s="21">
        <f>C14*D14</f>
        <v/>
      </c>
      <c r="F14" s="22" t="inlineStr">
        <is>
          <t>SL2 / NS 1000ml — Normal Saline 1L</t>
        </is>
      </c>
    </row>
    <row r="15" ht="18" customHeight="1">
      <c r="A15" s="7" t="n">
        <v>4</v>
      </c>
      <c r="B15" s="9" t="inlineStr">
        <is>
          <t>RL 500ml</t>
        </is>
      </c>
      <c r="C15" s="20" t="n">
        <v>1</v>
      </c>
      <c r="D15" s="21" t="n">
        <v>63.3</v>
      </c>
      <c r="E15" s="21">
        <f>C15*D15</f>
        <v/>
      </c>
      <c r="F15" s="22" t="inlineStr">
        <is>
          <t>SL4 / RL 500ml — Ringer's Lactate</t>
        </is>
      </c>
    </row>
    <row r="16" ht="18" customHeight="1">
      <c r="A16" s="7" t="n">
        <v>5</v>
      </c>
      <c r="B16" s="9" t="inlineStr">
        <is>
          <t>Syringe 2ml</t>
        </is>
      </c>
      <c r="C16" s="20" t="n">
        <v>2</v>
      </c>
      <c r="D16" s="21" t="n">
        <v>6.04</v>
      </c>
      <c r="E16" s="21">
        <f>C16*D16</f>
        <v/>
      </c>
      <c r="F16" s="22" t="inlineStr">
        <is>
          <t>SL58 / Syringe 2cc / 2ml</t>
        </is>
      </c>
    </row>
    <row r="17" ht="18" customHeight="1">
      <c r="A17" s="7" t="n">
        <v>6</v>
      </c>
      <c r="B17" s="9" t="inlineStr">
        <is>
          <t>Inj. Anawin Heavy 0.75%</t>
        </is>
      </c>
      <c r="C17" s="20" t="n">
        <v>1</v>
      </c>
      <c r="D17" s="21" t="n">
        <v>31.47</v>
      </c>
      <c r="E17" s="21">
        <f>C17*D17</f>
        <v/>
      </c>
      <c r="F17" s="22" t="inlineStr">
        <is>
          <t>SL7 / Inj. Anawin Heavy 0.75%/4ml (Bupiva</t>
        </is>
      </c>
    </row>
    <row r="18" ht="18" customHeight="1">
      <c r="A18" s="7" t="n">
        <v>7</v>
      </c>
      <c r="B18" s="9" t="inlineStr">
        <is>
          <t>Inj. Atropine</t>
        </is>
      </c>
      <c r="C18" s="20" t="n">
        <v>1</v>
      </c>
      <c r="D18" s="21" t="n">
        <v>7.3</v>
      </c>
      <c r="E18" s="21">
        <f>C18*D18</f>
        <v/>
      </c>
      <c r="F18" s="22" t="inlineStr">
        <is>
          <t>SL11 / Inj. Atropine 1ml</t>
        </is>
      </c>
    </row>
    <row r="19" ht="18" customHeight="1">
      <c r="A19" s="7" t="n">
        <v>8</v>
      </c>
      <c r="B19" s="9" t="inlineStr">
        <is>
          <t>Inj. Midazolam</t>
        </is>
      </c>
      <c r="C19" s="20" t="n">
        <v>1</v>
      </c>
      <c r="D19" s="21" t="n">
        <v>31.03</v>
      </c>
      <c r="E19" s="21">
        <f>C19*D19</f>
        <v/>
      </c>
      <c r="F19" s="22" t="inlineStr">
        <is>
          <t>SL9 / Inj. Midazolam 5ml (Mezolam)</t>
        </is>
      </c>
    </row>
    <row r="20" ht="18" customHeight="1">
      <c r="A20" s="7" t="n">
        <v>9</v>
      </c>
      <c r="B20" s="9" t="inlineStr">
        <is>
          <t>Inj. Oxytocin</t>
        </is>
      </c>
      <c r="C20" s="20" t="n">
        <v>1</v>
      </c>
      <c r="D20" s="21" t="n">
        <v>19.03</v>
      </c>
      <c r="E20" s="21">
        <f>C20*D20</f>
        <v/>
      </c>
      <c r="F20" s="22" t="inlineStr">
        <is>
          <t>SL35 / Inj. Oxytocin/Syntocinon 1ml</t>
        </is>
      </c>
    </row>
    <row r="21" ht="18" customHeight="1">
      <c r="A21" s="7" t="n">
        <v>10</v>
      </c>
      <c r="B21" s="9" t="inlineStr">
        <is>
          <t>Inj. PCM 100ml</t>
        </is>
      </c>
      <c r="C21" s="20" t="n">
        <v>3</v>
      </c>
      <c r="D21" s="21" t="n">
        <v>591.3</v>
      </c>
      <c r="E21" s="21">
        <f>C21*D21</f>
        <v/>
      </c>
      <c r="F21" s="22" t="inlineStr">
        <is>
          <t>SL27 / Inj. PCM 100ml (Paracetamol IV)</t>
        </is>
      </c>
    </row>
    <row r="22" ht="18" customHeight="1">
      <c r="A22" s="7" t="n">
        <v>11</v>
      </c>
      <c r="B22" s="9" t="inlineStr">
        <is>
          <t>OT Mop / Abd Swab</t>
        </is>
      </c>
      <c r="C22" s="20" t="n">
        <v>2</v>
      </c>
      <c r="D22" s="21" t="n">
        <v>165</v>
      </c>
      <c r="E22" s="21">
        <f>C22*D22</f>
        <v/>
      </c>
      <c r="F22" s="22" t="inlineStr">
        <is>
          <t>SL64 / OT Mop / Abd. Swab</t>
        </is>
      </c>
    </row>
    <row r="23" ht="18" customHeight="1">
      <c r="A23" s="7" t="n">
        <v>12</v>
      </c>
      <c r="B23" s="9" t="inlineStr">
        <is>
          <t>Gauze Pieces (Sterile)</t>
        </is>
      </c>
      <c r="C23" s="20" t="n">
        <v>4</v>
      </c>
      <c r="D23" s="21" t="n">
        <v>14</v>
      </c>
      <c r="E23" s="21">
        <f>C23*D23</f>
        <v/>
      </c>
      <c r="F23" s="22" t="inlineStr">
        <is>
          <t>SL63 / Gauze Pieces (Sterile)</t>
        </is>
      </c>
    </row>
    <row r="24" ht="18" customHeight="1">
      <c r="A24" s="7" t="n">
        <v>13</v>
      </c>
      <c r="B24" s="9" t="inlineStr">
        <is>
          <t>Gloves 7.0 Sterile</t>
        </is>
      </c>
      <c r="C24" s="20" t="n">
        <v>8</v>
      </c>
      <c r="D24" s="21" t="n">
        <v>91</v>
      </c>
      <c r="E24" s="21">
        <f>C24*D24</f>
        <v/>
      </c>
      <c r="F24" s="22" t="inlineStr">
        <is>
          <t>SL65 / Gloves 7.0 (Sterile Surgical)</t>
        </is>
      </c>
    </row>
    <row r="25" ht="18" customHeight="1">
      <c r="A25" s="7" t="n">
        <v>14</v>
      </c>
      <c r="B25" s="9" t="inlineStr">
        <is>
          <t>O2 (per use)</t>
        </is>
      </c>
      <c r="C25" s="20" t="n">
        <v>2</v>
      </c>
      <c r="D25" s="23" t="inlineStr">
        <is>
          <t>⚠ ENTER MRP</t>
        </is>
      </c>
      <c r="E25" s="24" t="n">
        <v>0</v>
      </c>
      <c r="F25" s="25" t="inlineStr">
        <is>
          <t>SL96 — MRP missing, enter manually</t>
        </is>
      </c>
    </row>
    <row r="26" ht="18" customHeight="1">
      <c r="A26" s="7" t="n">
        <v>15</v>
      </c>
      <c r="B26" s="9" t="inlineStr">
        <is>
          <t>Betadine Lotion 100ml</t>
        </is>
      </c>
      <c r="C26" s="20" t="n">
        <v>1</v>
      </c>
      <c r="D26" s="21" t="n">
        <v>236.25</v>
      </c>
      <c r="E26" s="21">
        <f>C26*D26</f>
        <v/>
      </c>
      <c r="F26" s="22" t="inlineStr">
        <is>
          <t>SL69 / Betadine Lotion 100ml</t>
        </is>
      </c>
    </row>
    <row r="27" ht="18" customHeight="1">
      <c r="A27" s="7" t="n">
        <v>16</v>
      </c>
      <c r="B27" s="9" t="inlineStr">
        <is>
          <t>Betadine Scrub 100ml</t>
        </is>
      </c>
      <c r="C27" s="20" t="n">
        <v>1</v>
      </c>
      <c r="D27" s="21" t="n">
        <v>236.25</v>
      </c>
      <c r="E27" s="21">
        <f>C27*D27</f>
        <v/>
      </c>
      <c r="F27" s="22" t="inlineStr">
        <is>
          <t>SL72 / Betadine Scrub 100ml</t>
        </is>
      </c>
    </row>
    <row r="28" ht="18" customHeight="1">
      <c r="A28" s="7" t="n">
        <v>17</v>
      </c>
      <c r="B28" s="9" t="inlineStr">
        <is>
          <t>Plain Sheet (OT)</t>
        </is>
      </c>
      <c r="C28" s="20" t="n">
        <v>3</v>
      </c>
      <c r="D28" s="21" t="n">
        <v>200</v>
      </c>
      <c r="E28" s="21">
        <f>C28*D28</f>
        <v/>
      </c>
      <c r="F28" s="22" t="inlineStr">
        <is>
          <t>SL83 / Plain Sheet (OT Draping)</t>
        </is>
      </c>
    </row>
    <row r="29" ht="18" customHeight="1">
      <c r="A29" s="7" t="n">
        <v>18</v>
      </c>
      <c r="B29" s="9" t="inlineStr">
        <is>
          <t>Suture Vicryl 1</t>
        </is>
      </c>
      <c r="C29" s="20" t="n">
        <v>1</v>
      </c>
      <c r="D29" s="21" t="n">
        <v>250</v>
      </c>
      <c r="E29" s="21">
        <f>C29*D29</f>
        <v/>
      </c>
      <c r="F29" s="22" t="inlineStr">
        <is>
          <t>SL78 / Suture Vicryl 1 (2421)</t>
        </is>
      </c>
    </row>
    <row r="30" ht="18" customHeight="1">
      <c r="A30" s="7" t="n">
        <v>19</v>
      </c>
      <c r="B30" s="9" t="inlineStr">
        <is>
          <t>Surgical Blade No. 10</t>
        </is>
      </c>
      <c r="C30" s="20" t="n">
        <v>1</v>
      </c>
      <c r="D30" s="21" t="n">
        <v>750</v>
      </c>
      <c r="E30" s="21">
        <f>C30*D30</f>
        <v/>
      </c>
      <c r="F30" s="22" t="inlineStr">
        <is>
          <t>SL81 / Surgical Blade No. 10</t>
        </is>
      </c>
    </row>
    <row r="31" ht="18" customHeight="1">
      <c r="A31" s="7" t="n">
        <v>20</v>
      </c>
      <c r="B31" s="9" t="inlineStr">
        <is>
          <t>Foley's Catheter 18 No.</t>
        </is>
      </c>
      <c r="C31" s="20" t="n">
        <v>1</v>
      </c>
      <c r="D31" s="21" t="n">
        <v>192.5</v>
      </c>
      <c r="E31" s="21">
        <f>C31*D31</f>
        <v/>
      </c>
      <c r="F31" s="22" t="inlineStr">
        <is>
          <t>SL51 / Foley's Catheter 18 No.</t>
        </is>
      </c>
    </row>
    <row r="32" ht="18" customHeight="1">
      <c r="A32" s="7" t="n">
        <v>21</v>
      </c>
      <c r="B32" s="9" t="inlineStr">
        <is>
          <t>Uro Bag</t>
        </is>
      </c>
      <c r="C32" s="20" t="n">
        <v>1</v>
      </c>
      <c r="D32" s="21" t="n">
        <v>361</v>
      </c>
      <c r="E32" s="21">
        <f>C32*D32</f>
        <v/>
      </c>
      <c r="F32" s="22" t="inlineStr">
        <is>
          <t>SL49 / Uro Bag</t>
        </is>
      </c>
    </row>
    <row r="33" ht="18" customHeight="1">
      <c r="A33" s="7" t="n">
        <v>22</v>
      </c>
      <c r="B33" s="9" t="inlineStr">
        <is>
          <t>IV Set</t>
        </is>
      </c>
      <c r="C33" s="20" t="n">
        <v>1</v>
      </c>
      <c r="D33" s="21" t="n">
        <v>201</v>
      </c>
      <c r="E33" s="21">
        <f>C33*D33</f>
        <v/>
      </c>
      <c r="F33" s="22" t="inlineStr">
        <is>
          <t>SL44 / IV Set / Sangoflex</t>
        </is>
      </c>
    </row>
    <row r="34" ht="18" customHeight="1">
      <c r="A34" s="7" t="n">
        <v>23</v>
      </c>
      <c r="B34" s="9" t="inlineStr">
        <is>
          <t>IV Cannula 20G</t>
        </is>
      </c>
      <c r="C34" s="20" t="n">
        <v>1</v>
      </c>
      <c r="D34" s="21" t="n">
        <v>202.55</v>
      </c>
      <c r="E34" s="21">
        <f>C34*D34</f>
        <v/>
      </c>
      <c r="F34" s="22" t="inlineStr">
        <is>
          <t>SL45 / IV Cannula 20G / Venflon 20G</t>
        </is>
      </c>
    </row>
    <row r="35" ht="18" customHeight="1">
      <c r="A35" s="7" t="n">
        <v>24</v>
      </c>
      <c r="B35" s="9" t="inlineStr">
        <is>
          <t>Easyfix</t>
        </is>
      </c>
      <c r="C35" s="20" t="n">
        <v>1</v>
      </c>
      <c r="D35" s="21" t="n">
        <v>900</v>
      </c>
      <c r="E35" s="21">
        <f>C35*D35</f>
        <v/>
      </c>
      <c r="F35" s="22" t="inlineStr">
        <is>
          <t>SL48 / Easyfix (Adhesive Film Dressing)</t>
        </is>
      </c>
    </row>
    <row r="36" ht="18" customHeight="1">
      <c r="A36" s="7" t="n">
        <v>25</v>
      </c>
      <c r="B36" s="9" t="inlineStr">
        <is>
          <t>Syringe 10ml</t>
        </is>
      </c>
      <c r="C36" s="20" t="n">
        <v>1</v>
      </c>
      <c r="D36" s="21" t="n">
        <v>20</v>
      </c>
      <c r="E36" s="21">
        <f>C36*D36</f>
        <v/>
      </c>
      <c r="F36" s="22" t="inlineStr">
        <is>
          <t>SL56 / Syringe 10cc / 10ml</t>
        </is>
      </c>
    </row>
    <row r="37" ht="18" customHeight="1">
      <c r="A37" s="7" t="n">
        <v>26</v>
      </c>
      <c r="B37" s="9" t="inlineStr">
        <is>
          <t>Syringe 5ml</t>
        </is>
      </c>
      <c r="C37" s="20" t="n">
        <v>1</v>
      </c>
      <c r="D37" s="21" t="n">
        <v>10.23</v>
      </c>
      <c r="E37" s="21">
        <f>C37*D37</f>
        <v/>
      </c>
      <c r="F37" s="22" t="inlineStr">
        <is>
          <t>SL57 / Syringe 5cc / 5ml</t>
        </is>
      </c>
    </row>
    <row r="38" ht="18" customHeight="1">
      <c r="A38" s="7" t="n">
        <v>27</v>
      </c>
      <c r="B38" s="9" t="inlineStr">
        <is>
          <t>Inj. Xone 1g</t>
        </is>
      </c>
      <c r="C38" s="20" t="n">
        <v>5</v>
      </c>
      <c r="D38" s="21" t="n">
        <v>66.64</v>
      </c>
      <c r="E38" s="21">
        <f>C38*D38</f>
        <v/>
      </c>
      <c r="F38" s="22" t="inlineStr">
        <is>
          <t>SL16 / Inj. Xone/Monocef 1g (Ceftriaxone)</t>
        </is>
      </c>
    </row>
    <row r="39" ht="18" customHeight="1">
      <c r="A39" s="7" t="n">
        <v>28</v>
      </c>
      <c r="B39" s="9" t="inlineStr">
        <is>
          <t>Inj. Tramadol 50mg</t>
        </is>
      </c>
      <c r="C39" s="20" t="n">
        <v>5</v>
      </c>
      <c r="D39" s="21" t="n">
        <v>12.56</v>
      </c>
      <c r="E39" s="21">
        <f>C39*D39</f>
        <v/>
      </c>
      <c r="F39" s="22" t="inlineStr">
        <is>
          <t>SL25 / Inj. Tramadol 50mg</t>
        </is>
      </c>
    </row>
    <row r="40" ht="18" customHeight="1">
      <c r="A40" s="7" t="n">
        <v>29</v>
      </c>
      <c r="B40" s="9" t="inlineStr">
        <is>
          <t>Inj. Pan IV</t>
        </is>
      </c>
      <c r="C40" s="20" t="n">
        <v>2</v>
      </c>
      <c r="D40" s="21" t="n">
        <v>53.9</v>
      </c>
      <c r="E40" s="21">
        <f>C40*D40</f>
        <v/>
      </c>
      <c r="F40" s="22" t="inlineStr">
        <is>
          <t>SL33 / Inj. Pan 40 / Pantocid (Pantoprazol</t>
        </is>
      </c>
    </row>
    <row r="41" ht="18" customHeight="1">
      <c r="A41" s="7" t="n">
        <v>30</v>
      </c>
      <c r="B41" s="9" t="inlineStr">
        <is>
          <t>Inj. Ondem</t>
        </is>
      </c>
      <c r="C41" s="20" t="n">
        <v>5</v>
      </c>
      <c r="D41" s="21" t="n">
        <v>12.72</v>
      </c>
      <c r="E41" s="21">
        <f>C41*D41</f>
        <v/>
      </c>
      <c r="F41" s="22" t="inlineStr">
        <is>
          <t>SL29 / Inj. Ondem/Zofer/Zofar (Ondansetron</t>
        </is>
      </c>
    </row>
    <row r="42" ht="18" customHeight="1">
      <c r="A42" s="7" t="n">
        <v>31</v>
      </c>
      <c r="B42" s="9" t="inlineStr">
        <is>
          <t>D. Water 10ml</t>
        </is>
      </c>
      <c r="C42" s="20" t="n">
        <v>1</v>
      </c>
      <c r="D42" s="21" t="n">
        <v>3.24</v>
      </c>
      <c r="E42" s="21">
        <f>C42*D42</f>
        <v/>
      </c>
      <c r="F42" s="22" t="inlineStr">
        <is>
          <t>SL59 / D. Water 10ml (Sterile Water)</t>
        </is>
      </c>
    </row>
    <row r="43" ht="22" customHeight="1">
      <c r="A43" s="26" t="inlineStr">
        <is>
          <t>Consumables Sub-Total</t>
        </is>
      </c>
      <c r="E43" s="27">
        <f>SUMIF(E12:E42,"&gt;0",E12:E42)</f>
        <v/>
      </c>
      <c r="F43" s="25" t="inlineStr">
        <is>
          <t>⚠ 1 item(s) need MRP — total partial</t>
        </is>
      </c>
    </row>
    <row r="45" ht="20" customHeight="1">
      <c r="A45" s="19" t="inlineStr">
        <is>
          <t>B.  BED CHARGES  +  C.  OT CHARGES</t>
        </is>
      </c>
    </row>
    <row r="46" ht="16" customHeight="1">
      <c r="A46" s="6" t="inlineStr">
        <is>
          <t>Component</t>
        </is>
      </c>
      <c r="B46" s="6" t="inlineStr">
        <is>
          <t>Rate (₹)</t>
        </is>
      </c>
      <c r="C46" s="6" t="inlineStr">
        <is>
          <t>Units</t>
        </is>
      </c>
      <c r="D46" s="6" t="inlineStr">
        <is>
          <t>Amount (₹)</t>
        </is>
      </c>
      <c r="E46" s="6" t="inlineStr"/>
      <c r="F46" s="6" t="inlineStr"/>
    </row>
    <row r="47" ht="18" customHeight="1">
      <c r="A47" s="8" t="inlineStr">
        <is>
          <t>Bed Charge (₹/day) — Bed Days in B8</t>
        </is>
      </c>
      <c r="B47" s="21">
        <f>'RATES &amp; SUMMARY'!$B$4</f>
        <v/>
      </c>
      <c r="C47" s="28">
        <f>B8</f>
        <v/>
      </c>
      <c r="D47" s="29">
        <f>B47*C47</f>
        <v/>
      </c>
      <c r="E47" s="8" t="inlineStr"/>
      <c r="F47" s="8" t="inlineStr"/>
    </row>
    <row r="48" ht="18" customHeight="1">
      <c r="A48" s="8" t="inlineStr">
        <is>
          <t>OT Charge (₹/hr) — OT Hours in B7</t>
        </is>
      </c>
      <c r="B48" s="21">
        <f>'RATES &amp; SUMMARY'!$B$5</f>
        <v/>
      </c>
      <c r="C48" s="28">
        <f>B7</f>
        <v/>
      </c>
      <c r="D48" s="29">
        <f>B48*C48</f>
        <v/>
      </c>
      <c r="E48" s="8" t="inlineStr"/>
      <c r="F48" s="8" t="inlineStr"/>
    </row>
    <row r="50" ht="28" customHeight="1">
      <c r="A50" s="30" t="inlineStr">
        <is>
          <t>GRAND TOTAL</t>
        </is>
      </c>
      <c r="D50" s="31">
        <f>E43+D47+D48</f>
        <v/>
      </c>
      <c r="E50" s="32" t="inlineStr"/>
    </row>
    <row r="995">
      <c r="G995">
        <f>E43+D47+D48</f>
        <v/>
      </c>
    </row>
    <row r="996">
      <c r="G996">
        <f>D48</f>
        <v/>
      </c>
    </row>
    <row r="997">
      <c r="G997">
        <f>D47</f>
        <v/>
      </c>
    </row>
    <row r="999">
      <c r="E999">
        <f>E43</f>
        <v/>
      </c>
    </row>
  </sheetData>
  <mergeCells count="13">
    <mergeCell ref="E50:F50"/>
    <mergeCell ref="B6:C6"/>
    <mergeCell ref="B2:C2"/>
    <mergeCell ref="A10:F10"/>
    <mergeCell ref="B7:C7"/>
    <mergeCell ref="B3:C3"/>
    <mergeCell ref="B5:C5"/>
    <mergeCell ref="A1:F1"/>
    <mergeCell ref="A45:F45"/>
    <mergeCell ref="A43:D43"/>
    <mergeCell ref="A50:C50"/>
    <mergeCell ref="B8:C8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" customWidth="1" min="3" max="3"/>
    <col width="14" customWidth="1" min="4" max="4"/>
    <col width="14" customWidth="1" min="5" max="5"/>
    <col width="38" customWidth="1" min="6" max="6"/>
    <col width="1" customWidth="1" min="7" max="7"/>
  </cols>
  <sheetData>
    <row r="1" ht="26" customHeight="1">
      <c r="A1" s="14" t="inlineStr">
        <is>
          <t>BK ADITYA MULTISPECIALTY HOSPITAL — PATIENT BILL  #36</t>
        </is>
      </c>
    </row>
    <row r="2">
      <c r="A2" s="15" t="inlineStr">
        <is>
          <t>Patient Name</t>
        </is>
      </c>
      <c r="B2" s="16" t="inlineStr">
        <is>
          <t>Shyamal Santra</t>
        </is>
      </c>
    </row>
    <row r="3">
      <c r="A3" s="15" t="inlineStr">
        <is>
          <t>Date</t>
        </is>
      </c>
      <c r="B3" s="17" t="inlineStr">
        <is>
          <t>16/06/2026</t>
        </is>
      </c>
    </row>
    <row r="4">
      <c r="A4" s="15" t="inlineStr">
        <is>
          <t>Doctor</t>
        </is>
      </c>
      <c r="B4" s="17" t="inlineStr">
        <is>
          <t>Dr. S. Gupta</t>
        </is>
      </c>
    </row>
    <row r="5">
      <c r="A5" s="15" t="inlineStr">
        <is>
          <t>Procedure</t>
        </is>
      </c>
      <c r="B5" s="16" t="inlineStr">
        <is>
          <t>TURP + Ward</t>
        </is>
      </c>
    </row>
    <row r="6">
      <c r="A6" s="15" t="inlineStr">
        <is>
          <t>Anaesthesia</t>
        </is>
      </c>
      <c r="B6" s="17" t="inlineStr">
        <is>
          <t>Spinal</t>
        </is>
      </c>
    </row>
    <row r="7">
      <c r="A7" s="15" t="inlineStr">
        <is>
          <t>OT Hours</t>
        </is>
      </c>
      <c r="B7" s="18" t="n">
        <v>2</v>
      </c>
    </row>
    <row r="8">
      <c r="A8" s="15" t="inlineStr">
        <is>
          <t>Bed Days</t>
        </is>
      </c>
      <c r="B8" s="18" t="n">
        <v>2</v>
      </c>
    </row>
    <row r="10" ht="20" customHeight="1">
      <c r="A10" s="19" t="inlineStr">
        <is>
          <t>A.  CONSUMABLES / MEDICINES</t>
        </is>
      </c>
    </row>
    <row r="11" ht="18" customHeight="1">
      <c r="A11" s="6" t="inlineStr">
        <is>
          <t>#</t>
        </is>
      </c>
      <c r="B11" s="6" t="inlineStr">
        <is>
          <t>Item Description</t>
        </is>
      </c>
      <c r="C11" s="6" t="inlineStr">
        <is>
          <t>Qty</t>
        </is>
      </c>
      <c r="D11" s="6" t="inlineStr">
        <is>
          <t>Rate (MRP ₹)</t>
        </is>
      </c>
      <c r="E11" s="6" t="inlineStr">
        <is>
          <t>Amount (₹)</t>
        </is>
      </c>
      <c r="F11" s="6" t="inlineStr">
        <is>
          <t>Notes</t>
        </is>
      </c>
    </row>
    <row r="12" ht="18" customHeight="1">
      <c r="A12" s="7" t="n">
        <v>1</v>
      </c>
      <c r="B12" s="9" t="inlineStr">
        <is>
          <t>IV Cannula 18G</t>
        </is>
      </c>
      <c r="C12" s="20" t="n">
        <v>1</v>
      </c>
      <c r="D12" s="21" t="n">
        <v>321</v>
      </c>
      <c r="E12" s="21">
        <f>C12*D12</f>
        <v/>
      </c>
      <c r="F12" s="22" t="inlineStr">
        <is>
          <t>SL47 / IV Cannula 18G / Venflon 18G</t>
        </is>
      </c>
    </row>
    <row r="13" ht="18" customHeight="1">
      <c r="A13" s="7" t="n">
        <v>2</v>
      </c>
      <c r="B13" s="9" t="inlineStr">
        <is>
          <t>Easyfix</t>
        </is>
      </c>
      <c r="C13" s="20" t="n">
        <v>1</v>
      </c>
      <c r="D13" s="21" t="n">
        <v>900</v>
      </c>
      <c r="E13" s="21">
        <f>C13*D13</f>
        <v/>
      </c>
      <c r="F13" s="22" t="inlineStr">
        <is>
          <t>SL48 / Easyfix (Adhesive Film Dressing)</t>
        </is>
      </c>
    </row>
    <row r="14" ht="18" customHeight="1">
      <c r="A14" s="7" t="n">
        <v>3</v>
      </c>
      <c r="B14" s="9" t="inlineStr">
        <is>
          <t>NS 1000ml</t>
        </is>
      </c>
      <c r="C14" s="20" t="n">
        <v>4</v>
      </c>
      <c r="D14" s="21" t="n">
        <v>62.22</v>
      </c>
      <c r="E14" s="21">
        <f>C14*D14</f>
        <v/>
      </c>
      <c r="F14" s="22" t="inlineStr">
        <is>
          <t>SL2 / NS 1000ml — Normal Saline 1L</t>
        </is>
      </c>
    </row>
    <row r="15" ht="18" customHeight="1">
      <c r="A15" s="7" t="n">
        <v>4</v>
      </c>
      <c r="B15" s="9" t="inlineStr">
        <is>
          <t>NS 500ml</t>
        </is>
      </c>
      <c r="C15" s="20" t="n">
        <v>1</v>
      </c>
      <c r="D15" s="21" t="n">
        <v>39.05</v>
      </c>
      <c r="E15" s="21">
        <f>C15*D15</f>
        <v/>
      </c>
      <c r="F15" s="22" t="inlineStr">
        <is>
          <t>SL1 / NS 500ml — Normal Saline</t>
        </is>
      </c>
    </row>
    <row r="16" ht="18" customHeight="1">
      <c r="A16" s="7" t="n">
        <v>5</v>
      </c>
      <c r="B16" s="9" t="inlineStr">
        <is>
          <t>Syringe 2ml</t>
        </is>
      </c>
      <c r="C16" s="20" t="n">
        <v>2</v>
      </c>
      <c r="D16" s="21" t="n">
        <v>6.04</v>
      </c>
      <c r="E16" s="21">
        <f>C16*D16</f>
        <v/>
      </c>
      <c r="F16" s="22" t="inlineStr">
        <is>
          <t>SL58 / Syringe 2cc / 2ml</t>
        </is>
      </c>
    </row>
    <row r="17" ht="18" customHeight="1">
      <c r="A17" s="7" t="n">
        <v>6</v>
      </c>
      <c r="B17" s="9" t="inlineStr">
        <is>
          <t>Inj. Anawin Heavy 0.75%</t>
        </is>
      </c>
      <c r="C17" s="20" t="n">
        <v>1</v>
      </c>
      <c r="D17" s="21" t="n">
        <v>31.47</v>
      </c>
      <c r="E17" s="21">
        <f>C17*D17</f>
        <v/>
      </c>
      <c r="F17" s="22" t="inlineStr">
        <is>
          <t>SL7 / Inj. Anawin Heavy 0.75%/4ml (Bupiva</t>
        </is>
      </c>
    </row>
    <row r="18" ht="18" customHeight="1">
      <c r="A18" s="7" t="n">
        <v>7</v>
      </c>
      <c r="B18" s="9" t="inlineStr">
        <is>
          <t>Inj. Atropine</t>
        </is>
      </c>
      <c r="C18" s="20" t="n">
        <v>1</v>
      </c>
      <c r="D18" s="21" t="n">
        <v>7.3</v>
      </c>
      <c r="E18" s="21">
        <f>C18*D18</f>
        <v/>
      </c>
      <c r="F18" s="22" t="inlineStr">
        <is>
          <t>SL11 / Inj. Atropine 1ml</t>
        </is>
      </c>
    </row>
    <row r="19" ht="18" customHeight="1">
      <c r="A19" s="7" t="n">
        <v>8</v>
      </c>
      <c r="B19" s="9" t="inlineStr">
        <is>
          <t>Inj. Midazolam</t>
        </is>
      </c>
      <c r="C19" s="20" t="n">
        <v>1</v>
      </c>
      <c r="D19" s="21" t="n">
        <v>31.03</v>
      </c>
      <c r="E19" s="21">
        <f>C19*D19</f>
        <v/>
      </c>
      <c r="F19" s="22" t="inlineStr">
        <is>
          <t>SL9 / Inj. Midazolam 5ml (Mezolam)</t>
        </is>
      </c>
    </row>
    <row r="20" ht="18" customHeight="1">
      <c r="A20" s="7" t="n">
        <v>9</v>
      </c>
      <c r="B20" s="9" t="inlineStr">
        <is>
          <t>Foley's Catheter 20 No.</t>
        </is>
      </c>
      <c r="C20" s="20" t="n">
        <v>1</v>
      </c>
      <c r="D20" s="21" t="n">
        <v>192.5</v>
      </c>
      <c r="E20" s="21">
        <f>C20*D20</f>
        <v/>
      </c>
      <c r="F20" s="22" t="inlineStr">
        <is>
          <t>SL52 / Foley's Catheter 20 No.</t>
        </is>
      </c>
    </row>
    <row r="21" ht="18" customHeight="1">
      <c r="A21" s="7" t="n">
        <v>10</v>
      </c>
      <c r="B21" s="9" t="inlineStr">
        <is>
          <t>Uro Bag</t>
        </is>
      </c>
      <c r="C21" s="20" t="n">
        <v>1</v>
      </c>
      <c r="D21" s="21" t="n">
        <v>361</v>
      </c>
      <c r="E21" s="21">
        <f>C21*D21</f>
        <v/>
      </c>
      <c r="F21" s="22" t="inlineStr">
        <is>
          <t>SL49 / Uro Bag</t>
        </is>
      </c>
    </row>
    <row r="22" ht="18" customHeight="1">
      <c r="A22" s="7" t="n">
        <v>11</v>
      </c>
      <c r="B22" s="9" t="inlineStr">
        <is>
          <t>Betadine Lotion 100ml</t>
        </is>
      </c>
      <c r="C22" s="20" t="n">
        <v>1</v>
      </c>
      <c r="D22" s="21" t="n">
        <v>236.25</v>
      </c>
      <c r="E22" s="21">
        <f>C22*D22</f>
        <v/>
      </c>
      <c r="F22" s="22" t="inlineStr">
        <is>
          <t>SL69 / Betadine Lotion 100ml</t>
        </is>
      </c>
    </row>
    <row r="23" ht="18" customHeight="1">
      <c r="A23" s="7" t="n">
        <v>12</v>
      </c>
      <c r="B23" s="9" t="inlineStr">
        <is>
          <t>OT Mop / Abd Swab</t>
        </is>
      </c>
      <c r="C23" s="20" t="n">
        <v>2</v>
      </c>
      <c r="D23" s="21" t="n">
        <v>165</v>
      </c>
      <c r="E23" s="21">
        <f>C23*D23</f>
        <v/>
      </c>
      <c r="F23" s="22" t="inlineStr">
        <is>
          <t>SL64 / OT Mop / Abd. Swab</t>
        </is>
      </c>
    </row>
    <row r="24" ht="18" customHeight="1">
      <c r="A24" s="7" t="n">
        <v>13</v>
      </c>
      <c r="B24" s="9" t="inlineStr">
        <is>
          <t>Gloves 7.0 Sterile</t>
        </is>
      </c>
      <c r="C24" s="20" t="n">
        <v>3</v>
      </c>
      <c r="D24" s="21" t="n">
        <v>91</v>
      </c>
      <c r="E24" s="21">
        <f>C24*D24</f>
        <v/>
      </c>
      <c r="F24" s="22" t="inlineStr">
        <is>
          <t>SL65 / Gloves 7.0 (Sterile Surgical)</t>
        </is>
      </c>
    </row>
    <row r="25" ht="18" customHeight="1">
      <c r="A25" s="7" t="n">
        <v>14</v>
      </c>
      <c r="B25" s="9" t="inlineStr">
        <is>
          <t>Inj. Rantac</t>
        </is>
      </c>
      <c r="C25" s="20" t="n">
        <v>3</v>
      </c>
      <c r="D25" s="21" t="n">
        <v>7.48</v>
      </c>
      <c r="E25" s="21">
        <f>C25*D25</f>
        <v/>
      </c>
      <c r="F25" s="22" t="inlineStr">
        <is>
          <t>SL30 / Inj. Rantac (Ranitidine)</t>
        </is>
      </c>
    </row>
    <row r="26" ht="18" customHeight="1">
      <c r="A26" s="7" t="n">
        <v>15</v>
      </c>
      <c r="B26" s="9" t="inlineStr">
        <is>
          <t>Inj. Ondem</t>
        </is>
      </c>
      <c r="C26" s="20" t="n">
        <v>1</v>
      </c>
      <c r="D26" s="21" t="n">
        <v>12.72</v>
      </c>
      <c r="E26" s="21">
        <f>C26*D26</f>
        <v/>
      </c>
      <c r="F26" s="22" t="inlineStr">
        <is>
          <t>SL29 / Inj. Ondem/Zofer/Zofar (Ondansetron</t>
        </is>
      </c>
    </row>
    <row r="27" ht="18" customHeight="1">
      <c r="A27" s="7" t="n">
        <v>16</v>
      </c>
      <c r="B27" s="9" t="inlineStr">
        <is>
          <t>Inj. Tramadol 50mg</t>
        </is>
      </c>
      <c r="C27" s="20" t="n">
        <v>1</v>
      </c>
      <c r="D27" s="21" t="n">
        <v>12.56</v>
      </c>
      <c r="E27" s="21">
        <f>C27*D27</f>
        <v/>
      </c>
      <c r="F27" s="22" t="inlineStr">
        <is>
          <t>SL25 / Inj. Tramadol 50mg</t>
        </is>
      </c>
    </row>
    <row r="28" ht="18" customHeight="1">
      <c r="A28" s="7" t="n">
        <v>17</v>
      </c>
      <c r="B28" s="9" t="inlineStr">
        <is>
          <t>Inj. T-Tet (Tetanus)</t>
        </is>
      </c>
      <c r="C28" s="20" t="n">
        <v>1</v>
      </c>
      <c r="D28" s="21" t="n">
        <v>20</v>
      </c>
      <c r="E28" s="21">
        <f>C28*D28</f>
        <v/>
      </c>
      <c r="F28" s="22" t="inlineStr">
        <is>
          <t>SL42 / Inj. T-Tet (Tetanus Toxoid)</t>
        </is>
      </c>
    </row>
    <row r="29" ht="18" customHeight="1">
      <c r="A29" s="7" t="n">
        <v>18</v>
      </c>
      <c r="B29" s="9" t="inlineStr">
        <is>
          <t>NS 100ml</t>
        </is>
      </c>
      <c r="C29" s="20" t="n">
        <v>1</v>
      </c>
      <c r="D29" s="21" t="n">
        <v>21</v>
      </c>
      <c r="E29" s="21">
        <f>C29*D29</f>
        <v/>
      </c>
      <c r="F29" s="22" t="inlineStr">
        <is>
          <t>SL3 / NS 100ml — Normal Saline 100ml</t>
        </is>
      </c>
    </row>
    <row r="30" ht="18" customHeight="1">
      <c r="A30" s="7" t="n">
        <v>19</v>
      </c>
      <c r="B30" s="9" t="inlineStr">
        <is>
          <t>IV Set</t>
        </is>
      </c>
      <c r="C30" s="20" t="n">
        <v>1</v>
      </c>
      <c r="D30" s="21" t="n">
        <v>201</v>
      </c>
      <c r="E30" s="21">
        <f>C30*D30</f>
        <v/>
      </c>
      <c r="F30" s="22" t="inlineStr">
        <is>
          <t>SL44 / IV Set / Sangoflex</t>
        </is>
      </c>
    </row>
    <row r="31" ht="18" customHeight="1">
      <c r="A31" s="7" t="n">
        <v>20</v>
      </c>
      <c r="B31" s="9" t="inlineStr">
        <is>
          <t>Cap + Mask Set</t>
        </is>
      </c>
      <c r="C31" s="20" t="n">
        <v>3</v>
      </c>
      <c r="D31" s="23" t="inlineStr">
        <is>
          <t>⚠ ENTER MRP</t>
        </is>
      </c>
      <c r="E31" s="24" t="n">
        <v>0</v>
      </c>
      <c r="F31" s="25" t="inlineStr">
        <is>
          <t>SL86 — MRP missing, enter manually</t>
        </is>
      </c>
    </row>
    <row r="32" ht="18" customHeight="1">
      <c r="A32" s="7" t="n">
        <v>21</v>
      </c>
      <c r="B32" s="9" t="inlineStr">
        <is>
          <t>Pulse Oximeter (per use)</t>
        </is>
      </c>
      <c r="C32" s="20" t="n">
        <v>1</v>
      </c>
      <c r="D32" s="23" t="inlineStr">
        <is>
          <t>⚠ ENTER MRP</t>
        </is>
      </c>
      <c r="E32" s="24" t="n">
        <v>0</v>
      </c>
      <c r="F32" s="25" t="inlineStr">
        <is>
          <t>SL97 — MRP missing, enter manually</t>
        </is>
      </c>
    </row>
    <row r="33" ht="22" customHeight="1">
      <c r="A33" s="26" t="inlineStr">
        <is>
          <t>Consumables Sub-Total</t>
        </is>
      </c>
      <c r="E33" s="27">
        <f>SUMIF(E12:E32,"&gt;0",E12:E32)</f>
        <v/>
      </c>
      <c r="F33" s="25" t="inlineStr">
        <is>
          <t>⚠ 2 item(s) need MRP — total partial</t>
        </is>
      </c>
    </row>
    <row r="35" ht="20" customHeight="1">
      <c r="A35" s="19" t="inlineStr">
        <is>
          <t>B.  BED CHARGES  +  C.  OT CHARGES</t>
        </is>
      </c>
    </row>
    <row r="36" ht="16" customHeight="1">
      <c r="A36" s="6" t="inlineStr">
        <is>
          <t>Component</t>
        </is>
      </c>
      <c r="B36" s="6" t="inlineStr">
        <is>
          <t>Rate (₹)</t>
        </is>
      </c>
      <c r="C36" s="6" t="inlineStr">
        <is>
          <t>Units</t>
        </is>
      </c>
      <c r="D36" s="6" t="inlineStr">
        <is>
          <t>Amount (₹)</t>
        </is>
      </c>
      <c r="E36" s="6" t="inlineStr"/>
      <c r="F36" s="6" t="inlineStr"/>
    </row>
    <row r="37" ht="18" customHeight="1">
      <c r="A37" s="8" t="inlineStr">
        <is>
          <t>Bed Charge (₹/day) — Bed Days in B8</t>
        </is>
      </c>
      <c r="B37" s="21">
        <f>'RATES &amp; SUMMARY'!$B$4</f>
        <v/>
      </c>
      <c r="C37" s="28">
        <f>B8</f>
        <v/>
      </c>
      <c r="D37" s="29">
        <f>B37*C37</f>
        <v/>
      </c>
      <c r="E37" s="8" t="inlineStr"/>
      <c r="F37" s="8" t="inlineStr"/>
    </row>
    <row r="38" ht="18" customHeight="1">
      <c r="A38" s="8" t="inlineStr">
        <is>
          <t>OT Charge (₹/hr) — OT Hours in B7</t>
        </is>
      </c>
      <c r="B38" s="21">
        <f>'RATES &amp; SUMMARY'!$B$5</f>
        <v/>
      </c>
      <c r="C38" s="28">
        <f>B7</f>
        <v/>
      </c>
      <c r="D38" s="29">
        <f>B38*C38</f>
        <v/>
      </c>
      <c r="E38" s="8" t="inlineStr"/>
      <c r="F38" s="8" t="inlineStr"/>
    </row>
    <row r="40" ht="28" customHeight="1">
      <c r="A40" s="30" t="inlineStr">
        <is>
          <t>GRAND TOTAL</t>
        </is>
      </c>
      <c r="D40" s="31">
        <f>E33+D37+D38</f>
        <v/>
      </c>
      <c r="E40" s="32" t="inlineStr"/>
    </row>
    <row r="995">
      <c r="G995">
        <f>E33+D37+D38</f>
        <v/>
      </c>
    </row>
    <row r="996">
      <c r="G996">
        <f>D38</f>
        <v/>
      </c>
    </row>
    <row r="997">
      <c r="G997">
        <f>D37</f>
        <v/>
      </c>
    </row>
    <row r="999">
      <c r="E999">
        <f>E33</f>
        <v/>
      </c>
    </row>
  </sheetData>
  <mergeCells count="13">
    <mergeCell ref="B6:C6"/>
    <mergeCell ref="B2:C2"/>
    <mergeCell ref="A10:F10"/>
    <mergeCell ref="B7:C7"/>
    <mergeCell ref="B3:C3"/>
    <mergeCell ref="B5:C5"/>
    <mergeCell ref="A1:F1"/>
    <mergeCell ref="A40:C40"/>
    <mergeCell ref="A35:F35"/>
    <mergeCell ref="A33:D33"/>
    <mergeCell ref="E40:F40"/>
    <mergeCell ref="B8:C8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" customWidth="1" min="3" max="3"/>
    <col width="14" customWidth="1" min="4" max="4"/>
    <col width="14" customWidth="1" min="5" max="5"/>
    <col width="38" customWidth="1" min="6" max="6"/>
    <col width="1" customWidth="1" min="7" max="7"/>
  </cols>
  <sheetData>
    <row r="1" ht="26" customHeight="1">
      <c r="A1" s="14" t="inlineStr">
        <is>
          <t>BK ADITYA MULTISPECIALTY HOSPITAL — PATIENT BILL  #37</t>
        </is>
      </c>
    </row>
    <row r="2">
      <c r="A2" s="15" t="inlineStr">
        <is>
          <t>Patient Name</t>
        </is>
      </c>
      <c r="B2" s="16" t="inlineStr">
        <is>
          <t>Md. Saiful Islam</t>
        </is>
      </c>
    </row>
    <row r="3">
      <c r="A3" s="15" t="inlineStr">
        <is>
          <t>Date</t>
        </is>
      </c>
      <c r="B3" s="17" t="inlineStr">
        <is>
          <t>18/06/2026</t>
        </is>
      </c>
    </row>
    <row r="4">
      <c r="A4" s="15" t="inlineStr">
        <is>
          <t>Doctor</t>
        </is>
      </c>
      <c r="B4" s="17" t="inlineStr">
        <is>
          <t>Dr. K. Digga</t>
        </is>
      </c>
    </row>
    <row r="5">
      <c r="A5" s="15" t="inlineStr">
        <is>
          <t>Procedure</t>
        </is>
      </c>
      <c r="B5" s="16" t="inlineStr">
        <is>
          <t>Local OT + Ward</t>
        </is>
      </c>
    </row>
    <row r="6">
      <c r="A6" s="15" t="inlineStr">
        <is>
          <t>Anaesthesia</t>
        </is>
      </c>
      <c r="B6" s="17" t="inlineStr">
        <is>
          <t>Local</t>
        </is>
      </c>
    </row>
    <row r="7">
      <c r="A7" s="15" t="inlineStr">
        <is>
          <t>OT Hours</t>
        </is>
      </c>
      <c r="B7" s="18" t="n">
        <v>1</v>
      </c>
    </row>
    <row r="8">
      <c r="A8" s="15" t="inlineStr">
        <is>
          <t>Bed Days</t>
        </is>
      </c>
      <c r="B8" s="18" t="n">
        <v>1</v>
      </c>
    </row>
    <row r="10" ht="20" customHeight="1">
      <c r="A10" s="19" t="inlineStr">
        <is>
          <t>A.  CONSUMABLES / MEDICINES</t>
        </is>
      </c>
    </row>
    <row r="11" ht="18" customHeight="1">
      <c r="A11" s="6" t="inlineStr">
        <is>
          <t>#</t>
        </is>
      </c>
      <c r="B11" s="6" t="inlineStr">
        <is>
          <t>Item Description</t>
        </is>
      </c>
      <c r="C11" s="6" t="inlineStr">
        <is>
          <t>Qty</t>
        </is>
      </c>
      <c r="D11" s="6" t="inlineStr">
        <is>
          <t>Rate (MRP ₹)</t>
        </is>
      </c>
      <c r="E11" s="6" t="inlineStr">
        <is>
          <t>Amount (₹)</t>
        </is>
      </c>
      <c r="F11" s="6" t="inlineStr">
        <is>
          <t>Notes</t>
        </is>
      </c>
    </row>
    <row r="12" ht="18" customHeight="1">
      <c r="A12" s="7" t="n">
        <v>1</v>
      </c>
      <c r="B12" s="9" t="inlineStr">
        <is>
          <t>Foley's Catheter 20 No.</t>
        </is>
      </c>
      <c r="C12" s="20" t="n">
        <v>2</v>
      </c>
      <c r="D12" s="21" t="n">
        <v>192.5</v>
      </c>
      <c r="E12" s="21">
        <f>C12*D12</f>
        <v/>
      </c>
      <c r="F12" s="22" t="inlineStr">
        <is>
          <t>SL52 / Foley's Catheter 20 No.</t>
        </is>
      </c>
    </row>
    <row r="13" ht="18" customHeight="1">
      <c r="A13" s="7" t="n">
        <v>2</v>
      </c>
      <c r="B13" s="9" t="inlineStr">
        <is>
          <t>Betadine Lotion 100ml</t>
        </is>
      </c>
      <c r="C13" s="20" t="n">
        <v>1</v>
      </c>
      <c r="D13" s="21" t="n">
        <v>236.25</v>
      </c>
      <c r="E13" s="21">
        <f>C13*D13</f>
        <v/>
      </c>
      <c r="F13" s="22" t="inlineStr">
        <is>
          <t>SL69 / Betadine Lotion 100ml</t>
        </is>
      </c>
    </row>
    <row r="14" ht="18" customHeight="1">
      <c r="A14" s="7" t="n">
        <v>3</v>
      </c>
      <c r="B14" s="9" t="inlineStr">
        <is>
          <t>OT Mop / Abd Swab</t>
        </is>
      </c>
      <c r="C14" s="20" t="n">
        <v>1</v>
      </c>
      <c r="D14" s="21" t="n">
        <v>165</v>
      </c>
      <c r="E14" s="21">
        <f>C14*D14</f>
        <v/>
      </c>
      <c r="F14" s="22" t="inlineStr">
        <is>
          <t>SL64 / OT Mop / Abd. Swab</t>
        </is>
      </c>
    </row>
    <row r="15" ht="18" customHeight="1">
      <c r="A15" s="7" t="n">
        <v>4</v>
      </c>
      <c r="B15" s="9" t="inlineStr">
        <is>
          <t>Inj. Lox 2% (Lignocaine)</t>
        </is>
      </c>
      <c r="C15" s="20" t="n">
        <v>1</v>
      </c>
      <c r="D15" s="21" t="n">
        <v>37.95</v>
      </c>
      <c r="E15" s="21">
        <f>C15*D15</f>
        <v/>
      </c>
      <c r="F15" s="22" t="inlineStr">
        <is>
          <t>SL14 / Inj. Lox 2% Jelly (Lignocaine)</t>
        </is>
      </c>
    </row>
    <row r="16" ht="18" customHeight="1">
      <c r="A16" s="7" t="n">
        <v>5</v>
      </c>
      <c r="B16" s="9" t="inlineStr">
        <is>
          <t>Gloves 7.0 Sterile</t>
        </is>
      </c>
      <c r="C16" s="20" t="n">
        <v>3</v>
      </c>
      <c r="D16" s="21" t="n">
        <v>91</v>
      </c>
      <c r="E16" s="21">
        <f>C16*D16</f>
        <v/>
      </c>
      <c r="F16" s="22" t="inlineStr">
        <is>
          <t>SL65 / Gloves 7.0 (Sterile Surgical)</t>
        </is>
      </c>
    </row>
    <row r="17" ht="18" customHeight="1">
      <c r="A17" s="7" t="n">
        <v>6</v>
      </c>
      <c r="B17" s="9" t="inlineStr">
        <is>
          <t>Cap + Mask Set</t>
        </is>
      </c>
      <c r="C17" s="20" t="n">
        <v>2</v>
      </c>
      <c r="D17" s="23" t="inlineStr">
        <is>
          <t>⚠ ENTER MRP</t>
        </is>
      </c>
      <c r="E17" s="24" t="n">
        <v>0</v>
      </c>
      <c r="F17" s="25" t="inlineStr">
        <is>
          <t>SL86 — MRP missing, enter manually</t>
        </is>
      </c>
    </row>
    <row r="18" ht="18" customHeight="1">
      <c r="A18" s="7" t="n">
        <v>7</v>
      </c>
      <c r="B18" s="9" t="inlineStr">
        <is>
          <t>NS 500ml</t>
        </is>
      </c>
      <c r="C18" s="20" t="n">
        <v>4</v>
      </c>
      <c r="D18" s="21" t="n">
        <v>39.05</v>
      </c>
      <c r="E18" s="21">
        <f>C18*D18</f>
        <v/>
      </c>
      <c r="F18" s="22" t="inlineStr">
        <is>
          <t>SL1 / NS 500ml — Normal Saline</t>
        </is>
      </c>
    </row>
    <row r="19" ht="18" customHeight="1">
      <c r="A19" s="7" t="n">
        <v>8</v>
      </c>
      <c r="B19" s="9" t="inlineStr">
        <is>
          <t>Roller Bandage 6"</t>
        </is>
      </c>
      <c r="C19" s="20" t="n">
        <v>3</v>
      </c>
      <c r="D19" s="21" t="n">
        <v>67.5</v>
      </c>
      <c r="E19" s="21">
        <f>C19*D19</f>
        <v/>
      </c>
      <c r="F19" s="22" t="inlineStr">
        <is>
          <t>SL74 / Roller Bandage 6" (Crepe)</t>
        </is>
      </c>
    </row>
    <row r="20" ht="18" customHeight="1">
      <c r="A20" s="7" t="n">
        <v>9</v>
      </c>
      <c r="B20" s="9" t="inlineStr">
        <is>
          <t>Inj. Xone 1g</t>
        </is>
      </c>
      <c r="C20" s="20" t="n">
        <v>3</v>
      </c>
      <c r="D20" s="21" t="n">
        <v>66.64</v>
      </c>
      <c r="E20" s="21">
        <f>C20*D20</f>
        <v/>
      </c>
      <c r="F20" s="22" t="inlineStr">
        <is>
          <t>SL16 / Inj. Xone/Monocef 1g (Ceftriaxone)</t>
        </is>
      </c>
    </row>
    <row r="21" ht="18" customHeight="1">
      <c r="A21" s="7" t="n">
        <v>10</v>
      </c>
      <c r="B21" s="9" t="inlineStr">
        <is>
          <t>Inj. Ondem</t>
        </is>
      </c>
      <c r="C21" s="20" t="n">
        <v>1</v>
      </c>
      <c r="D21" s="21" t="n">
        <v>12.72</v>
      </c>
      <c r="E21" s="21">
        <f>C21*D21</f>
        <v/>
      </c>
      <c r="F21" s="22" t="inlineStr">
        <is>
          <t>SL29 / Inj. Ondem/Zofer/Zofar (Ondansetron</t>
        </is>
      </c>
    </row>
    <row r="22" ht="18" customHeight="1">
      <c r="A22" s="7" t="n">
        <v>11</v>
      </c>
      <c r="B22" s="9" t="inlineStr">
        <is>
          <t>Inj. Pan IV</t>
        </is>
      </c>
      <c r="C22" s="20" t="n">
        <v>2</v>
      </c>
      <c r="D22" s="21" t="n">
        <v>53.9</v>
      </c>
      <c r="E22" s="21">
        <f>C22*D22</f>
        <v/>
      </c>
      <c r="F22" s="22" t="inlineStr">
        <is>
          <t>SL33 / Inj. Pan 40 / Pantocid (Pantoprazol</t>
        </is>
      </c>
    </row>
    <row r="23" ht="18" customHeight="1">
      <c r="A23" s="7" t="n">
        <v>12</v>
      </c>
      <c r="B23" s="9" t="inlineStr">
        <is>
          <t>Syringe 2ml</t>
        </is>
      </c>
      <c r="C23" s="20" t="n">
        <v>1</v>
      </c>
      <c r="D23" s="21" t="n">
        <v>6.04</v>
      </c>
      <c r="E23" s="21">
        <f>C23*D23</f>
        <v/>
      </c>
      <c r="F23" s="22" t="inlineStr">
        <is>
          <t>SL58 / Syringe 2cc / 2ml</t>
        </is>
      </c>
    </row>
    <row r="24" ht="18" customHeight="1">
      <c r="A24" s="7" t="n">
        <v>13</v>
      </c>
      <c r="B24" s="9" t="inlineStr">
        <is>
          <t>NS 100ml</t>
        </is>
      </c>
      <c r="C24" s="20" t="n">
        <v>2</v>
      </c>
      <c r="D24" s="21" t="n">
        <v>21</v>
      </c>
      <c r="E24" s="21">
        <f>C24*D24</f>
        <v/>
      </c>
      <c r="F24" s="22" t="inlineStr">
        <is>
          <t>SL3 / NS 100ml — Normal Saline 100ml</t>
        </is>
      </c>
    </row>
    <row r="25" ht="22" customHeight="1">
      <c r="A25" s="26" t="inlineStr">
        <is>
          <t>Consumables Sub-Total</t>
        </is>
      </c>
      <c r="E25" s="27">
        <f>SUMIF(E12:E24,"&gt;0",E12:E24)</f>
        <v/>
      </c>
      <c r="F25" s="25" t="inlineStr">
        <is>
          <t>⚠ 1 item(s) need MRP — total partial</t>
        </is>
      </c>
    </row>
    <row r="27" ht="20" customHeight="1">
      <c r="A27" s="19" t="inlineStr">
        <is>
          <t>B.  BED CHARGES  +  C.  OT CHARGES</t>
        </is>
      </c>
    </row>
    <row r="28" ht="16" customHeight="1">
      <c r="A28" s="6" t="inlineStr">
        <is>
          <t>Component</t>
        </is>
      </c>
      <c r="B28" s="6" t="inlineStr">
        <is>
          <t>Rate (₹)</t>
        </is>
      </c>
      <c r="C28" s="6" t="inlineStr">
        <is>
          <t>Units</t>
        </is>
      </c>
      <c r="D28" s="6" t="inlineStr">
        <is>
          <t>Amount (₹)</t>
        </is>
      </c>
      <c r="E28" s="6" t="inlineStr"/>
      <c r="F28" s="6" t="inlineStr"/>
    </row>
    <row r="29" ht="18" customHeight="1">
      <c r="A29" s="8" t="inlineStr">
        <is>
          <t>Bed Charge (₹/day) — Bed Days in B8</t>
        </is>
      </c>
      <c r="B29" s="21">
        <f>'RATES &amp; SUMMARY'!$B$4</f>
        <v/>
      </c>
      <c r="C29" s="28">
        <f>B8</f>
        <v/>
      </c>
      <c r="D29" s="29">
        <f>B29*C29</f>
        <v/>
      </c>
      <c r="E29" s="8" t="inlineStr"/>
      <c r="F29" s="8" t="inlineStr"/>
    </row>
    <row r="30" ht="18" customHeight="1">
      <c r="A30" s="8" t="inlineStr">
        <is>
          <t>OT Charge (₹/hr) — OT Hours in B7</t>
        </is>
      </c>
      <c r="B30" s="21">
        <f>'RATES &amp; SUMMARY'!$B$5</f>
        <v/>
      </c>
      <c r="C30" s="28">
        <f>B7</f>
        <v/>
      </c>
      <c r="D30" s="29">
        <f>B30*C30</f>
        <v/>
      </c>
      <c r="E30" s="8" t="inlineStr"/>
      <c r="F30" s="8" t="inlineStr"/>
    </row>
    <row r="32" ht="28" customHeight="1">
      <c r="A32" s="30" t="inlineStr">
        <is>
          <t>GRAND TOTAL</t>
        </is>
      </c>
      <c r="D32" s="31">
        <f>E25+D29+D30</f>
        <v/>
      </c>
      <c r="E32" s="32" t="inlineStr"/>
    </row>
    <row r="995">
      <c r="G995">
        <f>E25+D29+D30</f>
        <v/>
      </c>
    </row>
    <row r="996">
      <c r="G996">
        <f>D30</f>
        <v/>
      </c>
    </row>
    <row r="997">
      <c r="G997">
        <f>D29</f>
        <v/>
      </c>
    </row>
    <row r="999">
      <c r="E999">
        <f>E25</f>
        <v/>
      </c>
    </row>
  </sheetData>
  <mergeCells count="13">
    <mergeCell ref="B6:C6"/>
    <mergeCell ref="B2:C2"/>
    <mergeCell ref="A10:F10"/>
    <mergeCell ref="B7:C7"/>
    <mergeCell ref="E32:F32"/>
    <mergeCell ref="B3:C3"/>
    <mergeCell ref="B5:C5"/>
    <mergeCell ref="A1:F1"/>
    <mergeCell ref="A32:C32"/>
    <mergeCell ref="A27:F27"/>
    <mergeCell ref="A25:D25"/>
    <mergeCell ref="B8:C8"/>
    <mergeCell ref="B4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" customWidth="1" min="3" max="3"/>
    <col width="14" customWidth="1" min="4" max="4"/>
    <col width="14" customWidth="1" min="5" max="5"/>
    <col width="38" customWidth="1" min="6" max="6"/>
    <col width="1" customWidth="1" min="7" max="7"/>
  </cols>
  <sheetData>
    <row r="1" ht="26" customHeight="1">
      <c r="A1" s="14" t="inlineStr">
        <is>
          <t>BK ADITYA MULTISPECIALTY HOSPITAL — PATIENT BILL  #38</t>
        </is>
      </c>
    </row>
    <row r="2">
      <c r="A2" s="15" t="inlineStr">
        <is>
          <t>Patient Name</t>
        </is>
      </c>
      <c r="B2" s="16" t="inlineStr">
        <is>
          <t>Depanita Sankar</t>
        </is>
      </c>
    </row>
    <row r="3">
      <c r="A3" s="15" t="inlineStr">
        <is>
          <t>Date</t>
        </is>
      </c>
      <c r="B3" s="17" t="inlineStr">
        <is>
          <t>21/06/2026</t>
        </is>
      </c>
    </row>
    <row r="4">
      <c r="A4" s="15" t="inlineStr">
        <is>
          <t>Doctor</t>
        </is>
      </c>
      <c r="B4" s="17" t="inlineStr">
        <is>
          <t>Dr. K. Digga</t>
        </is>
      </c>
    </row>
    <row r="5">
      <c r="A5" s="15" t="inlineStr">
        <is>
          <t>Procedure</t>
        </is>
      </c>
      <c r="B5" s="16" t="inlineStr">
        <is>
          <t>Rt Femur Fracture Fixation + Ward</t>
        </is>
      </c>
    </row>
    <row r="6">
      <c r="A6" s="15" t="inlineStr">
        <is>
          <t>Anaesthesia</t>
        </is>
      </c>
      <c r="B6" s="17" t="inlineStr">
        <is>
          <t>Spinal</t>
        </is>
      </c>
    </row>
    <row r="7">
      <c r="A7" s="15" t="inlineStr">
        <is>
          <t>OT Hours</t>
        </is>
      </c>
      <c r="B7" s="18" t="n">
        <v>2</v>
      </c>
    </row>
    <row r="8">
      <c r="A8" s="15" t="inlineStr">
        <is>
          <t>Bed Days</t>
        </is>
      </c>
      <c r="B8" s="18" t="n">
        <v>1</v>
      </c>
    </row>
    <row r="10" ht="20" customHeight="1">
      <c r="A10" s="19" t="inlineStr">
        <is>
          <t>A.  CONSUMABLES / MEDICINES</t>
        </is>
      </c>
    </row>
    <row r="11" ht="18" customHeight="1">
      <c r="A11" s="6" t="inlineStr">
        <is>
          <t>#</t>
        </is>
      </c>
      <c r="B11" s="6" t="inlineStr">
        <is>
          <t>Item Description</t>
        </is>
      </c>
      <c r="C11" s="6" t="inlineStr">
        <is>
          <t>Qty</t>
        </is>
      </c>
      <c r="D11" s="6" t="inlineStr">
        <is>
          <t>Rate (MRP ₹)</t>
        </is>
      </c>
      <c r="E11" s="6" t="inlineStr">
        <is>
          <t>Amount (₹)</t>
        </is>
      </c>
      <c r="F11" s="6" t="inlineStr">
        <is>
          <t>Notes</t>
        </is>
      </c>
    </row>
    <row r="12" ht="18" customHeight="1">
      <c r="A12" s="7" t="n">
        <v>1</v>
      </c>
      <c r="B12" s="9" t="inlineStr">
        <is>
          <t>Inj. Xone 1g</t>
        </is>
      </c>
      <c r="C12" s="20" t="n">
        <v>6</v>
      </c>
      <c r="D12" s="21" t="n">
        <v>66.64</v>
      </c>
      <c r="E12" s="21">
        <f>C12*D12</f>
        <v/>
      </c>
      <c r="F12" s="22" t="inlineStr">
        <is>
          <t>SL16 / Inj. Xone/Monocef 1g (Ceftriaxone)</t>
        </is>
      </c>
    </row>
    <row r="13" ht="18" customHeight="1">
      <c r="A13" s="7" t="n">
        <v>2</v>
      </c>
      <c r="B13" s="9" t="inlineStr">
        <is>
          <t>Inj. Pan IV</t>
        </is>
      </c>
      <c r="C13" s="20" t="n">
        <v>3</v>
      </c>
      <c r="D13" s="21" t="n">
        <v>53.9</v>
      </c>
      <c r="E13" s="21">
        <f>C13*D13</f>
        <v/>
      </c>
      <c r="F13" s="22" t="inlineStr">
        <is>
          <t>SL33 / Inj. Pan 40 / Pantocid (Pantoprazol</t>
        </is>
      </c>
    </row>
    <row r="14" ht="18" customHeight="1">
      <c r="A14" s="7" t="n">
        <v>3</v>
      </c>
      <c r="B14" s="9" t="inlineStr">
        <is>
          <t>Inj. Ondem 2ml</t>
        </is>
      </c>
      <c r="C14" s="20" t="n">
        <v>2</v>
      </c>
      <c r="D14" s="21" t="n">
        <v>12.72</v>
      </c>
      <c r="E14" s="21">
        <f>C14*D14</f>
        <v/>
      </c>
      <c r="F14" s="22" t="inlineStr">
        <is>
          <t>SL29 / Inj. Ondem/Zofer/Zofar (Ondansetron</t>
        </is>
      </c>
    </row>
    <row r="15" ht="18" customHeight="1">
      <c r="A15" s="7" t="n">
        <v>4</v>
      </c>
      <c r="B15" s="9" t="inlineStr">
        <is>
          <t>Easyfix</t>
        </is>
      </c>
      <c r="C15" s="20" t="n">
        <v>1</v>
      </c>
      <c r="D15" s="21" t="n">
        <v>900</v>
      </c>
      <c r="E15" s="21">
        <f>C15*D15</f>
        <v/>
      </c>
      <c r="F15" s="22" t="inlineStr">
        <is>
          <t>SL48 / Easyfix (Adhesive Film Dressing)</t>
        </is>
      </c>
    </row>
    <row r="16" ht="18" customHeight="1">
      <c r="A16" s="7" t="n">
        <v>5</v>
      </c>
      <c r="B16" s="9" t="inlineStr">
        <is>
          <t>IV Cannula 22G</t>
        </is>
      </c>
      <c r="C16" s="20" t="n">
        <v>2</v>
      </c>
      <c r="D16" s="21" t="n">
        <v>202.55</v>
      </c>
      <c r="E16" s="21">
        <f>C16*D16</f>
        <v/>
      </c>
      <c r="F16" s="22" t="inlineStr">
        <is>
          <t>SL46 / IV Cannula 22G</t>
        </is>
      </c>
    </row>
    <row r="17" ht="18" customHeight="1">
      <c r="A17" s="7" t="n">
        <v>6</v>
      </c>
      <c r="B17" s="9" t="inlineStr">
        <is>
          <t>NS 500ml</t>
        </is>
      </c>
      <c r="C17" s="20" t="n">
        <v>2</v>
      </c>
      <c r="D17" s="21" t="n">
        <v>39.05</v>
      </c>
      <c r="E17" s="21">
        <f>C17*D17</f>
        <v/>
      </c>
      <c r="F17" s="22" t="inlineStr">
        <is>
          <t>SL1 / NS 500ml — Normal Saline</t>
        </is>
      </c>
    </row>
    <row r="18" ht="18" customHeight="1">
      <c r="A18" s="7" t="n">
        <v>7</v>
      </c>
      <c r="B18" s="9" t="inlineStr">
        <is>
          <t>IV Set</t>
        </is>
      </c>
      <c r="C18" s="20" t="n">
        <v>1</v>
      </c>
      <c r="D18" s="21" t="n">
        <v>201</v>
      </c>
      <c r="E18" s="21">
        <f>C18*D18</f>
        <v/>
      </c>
      <c r="F18" s="22" t="inlineStr">
        <is>
          <t>SL44 / IV Set / Sangoflex</t>
        </is>
      </c>
    </row>
    <row r="19" ht="18" customHeight="1">
      <c r="A19" s="7" t="n">
        <v>8</v>
      </c>
      <c r="B19" s="9" t="inlineStr">
        <is>
          <t>Syringe 2ml</t>
        </is>
      </c>
      <c r="C19" s="20" t="n">
        <v>1</v>
      </c>
      <c r="D19" s="21" t="n">
        <v>6.04</v>
      </c>
      <c r="E19" s="21">
        <f>C19*D19</f>
        <v/>
      </c>
      <c r="F19" s="22" t="inlineStr">
        <is>
          <t>SL58 / Syringe 2cc / 2ml</t>
        </is>
      </c>
    </row>
    <row r="20" ht="18" customHeight="1">
      <c r="A20" s="7" t="n">
        <v>9</v>
      </c>
      <c r="B20" s="9" t="inlineStr">
        <is>
          <t>Syringe 10ml</t>
        </is>
      </c>
      <c r="C20" s="20" t="n">
        <v>1</v>
      </c>
      <c r="D20" s="21" t="n">
        <v>20</v>
      </c>
      <c r="E20" s="21">
        <f>C20*D20</f>
        <v/>
      </c>
      <c r="F20" s="22" t="inlineStr">
        <is>
          <t>SL56 / Syringe 10cc / 10ml</t>
        </is>
      </c>
    </row>
    <row r="21" ht="18" customHeight="1">
      <c r="A21" s="7" t="n">
        <v>10</v>
      </c>
      <c r="B21" s="9" t="inlineStr">
        <is>
          <t>D. Water 10ml</t>
        </is>
      </c>
      <c r="C21" s="20" t="n">
        <v>2</v>
      </c>
      <c r="D21" s="21" t="n">
        <v>3.24</v>
      </c>
      <c r="E21" s="21">
        <f>C21*D21</f>
        <v/>
      </c>
      <c r="F21" s="22" t="inlineStr">
        <is>
          <t>SL59 / D. Water 10ml (Sterile Water)</t>
        </is>
      </c>
    </row>
    <row r="22" ht="18" customHeight="1">
      <c r="A22" s="7" t="n">
        <v>11</v>
      </c>
      <c r="B22" s="9" t="inlineStr">
        <is>
          <t>Inj. Tramadol 2ml</t>
        </is>
      </c>
      <c r="C22" s="20" t="n">
        <v>4</v>
      </c>
      <c r="D22" s="21" t="n">
        <v>12.56</v>
      </c>
      <c r="E22" s="21">
        <f>C22*D22</f>
        <v/>
      </c>
      <c r="F22" s="22" t="inlineStr">
        <is>
          <t>SL25 / Inj. Tramadol 50mg</t>
        </is>
      </c>
    </row>
    <row r="23" ht="18" customHeight="1">
      <c r="A23" s="7" t="n">
        <v>12</v>
      </c>
      <c r="B23" s="9" t="inlineStr">
        <is>
          <t>O2 (4 hours)</t>
        </is>
      </c>
      <c r="C23" s="20" t="n">
        <v>1</v>
      </c>
      <c r="D23" s="23" t="inlineStr">
        <is>
          <t>⚠ ENTER MRP</t>
        </is>
      </c>
      <c r="E23" s="24" t="n">
        <v>0</v>
      </c>
      <c r="F23" s="25" t="inlineStr">
        <is>
          <t>SL96 — MRP missing, enter manually</t>
        </is>
      </c>
    </row>
    <row r="24" ht="18" customHeight="1">
      <c r="A24" s="7" t="n">
        <v>13</v>
      </c>
      <c r="B24" s="9" t="inlineStr">
        <is>
          <t>NS 100ml</t>
        </is>
      </c>
      <c r="C24" s="20" t="n">
        <v>7</v>
      </c>
      <c r="D24" s="21" t="n">
        <v>21</v>
      </c>
      <c r="E24" s="21">
        <f>C24*D24</f>
        <v/>
      </c>
      <c r="F24" s="22" t="inlineStr">
        <is>
          <t>SL3 / NS 100ml — Normal Saline 100ml</t>
        </is>
      </c>
    </row>
    <row r="25" ht="18" customHeight="1">
      <c r="A25" s="7" t="n">
        <v>14</v>
      </c>
      <c r="B25" s="9" t="inlineStr">
        <is>
          <t>DNS 500ml</t>
        </is>
      </c>
      <c r="C25" s="20" t="n">
        <v>1</v>
      </c>
      <c r="D25" s="21" t="n">
        <v>40.12</v>
      </c>
      <c r="E25" s="21">
        <f>C25*D25</f>
        <v/>
      </c>
      <c r="F25" s="22" t="inlineStr">
        <is>
          <t>SL6 / D5 500ml — Dextrose 5%</t>
        </is>
      </c>
    </row>
    <row r="26" ht="22" customHeight="1">
      <c r="A26" s="26" t="inlineStr">
        <is>
          <t>Consumables Sub-Total</t>
        </is>
      </c>
      <c r="E26" s="27">
        <f>SUMIF(E12:E25,"&gt;0",E12:E25)</f>
        <v/>
      </c>
      <c r="F26" s="25" t="inlineStr">
        <is>
          <t>⚠ 1 item(s) need MRP — total partial</t>
        </is>
      </c>
    </row>
    <row r="28" ht="20" customHeight="1">
      <c r="A28" s="19" t="inlineStr">
        <is>
          <t>B.  BED CHARGES  +  C.  OT CHARGES</t>
        </is>
      </c>
    </row>
    <row r="29" ht="16" customHeight="1">
      <c r="A29" s="6" t="inlineStr">
        <is>
          <t>Component</t>
        </is>
      </c>
      <c r="B29" s="6" t="inlineStr">
        <is>
          <t>Rate (₹)</t>
        </is>
      </c>
      <c r="C29" s="6" t="inlineStr">
        <is>
          <t>Units</t>
        </is>
      </c>
      <c r="D29" s="6" t="inlineStr">
        <is>
          <t>Amount (₹)</t>
        </is>
      </c>
      <c r="E29" s="6" t="inlineStr"/>
      <c r="F29" s="6" t="inlineStr"/>
    </row>
    <row r="30" ht="18" customHeight="1">
      <c r="A30" s="8" t="inlineStr">
        <is>
          <t>Bed Charge (₹/day) — Bed Days in B8</t>
        </is>
      </c>
      <c r="B30" s="21">
        <f>'RATES &amp; SUMMARY'!$B$4</f>
        <v/>
      </c>
      <c r="C30" s="28">
        <f>B8</f>
        <v/>
      </c>
      <c r="D30" s="29">
        <f>B30*C30</f>
        <v/>
      </c>
      <c r="E30" s="8" t="inlineStr"/>
      <c r="F30" s="8" t="inlineStr"/>
    </row>
    <row r="31" ht="18" customHeight="1">
      <c r="A31" s="8" t="inlineStr">
        <is>
          <t>OT Charge (₹/hr) — OT Hours in B7</t>
        </is>
      </c>
      <c r="B31" s="21">
        <f>'RATES &amp; SUMMARY'!$B$5</f>
        <v/>
      </c>
      <c r="C31" s="28">
        <f>B7</f>
        <v/>
      </c>
      <c r="D31" s="29">
        <f>B31*C31</f>
        <v/>
      </c>
      <c r="E31" s="8" t="inlineStr"/>
      <c r="F31" s="8" t="inlineStr"/>
    </row>
    <row r="33" ht="28" customHeight="1">
      <c r="A33" s="30" t="inlineStr">
        <is>
          <t>GRAND TOTAL</t>
        </is>
      </c>
      <c r="D33" s="31">
        <f>E26+D30+D31</f>
        <v/>
      </c>
      <c r="E33" s="32" t="inlineStr"/>
    </row>
    <row r="995">
      <c r="G995">
        <f>E26+D30+D31</f>
        <v/>
      </c>
    </row>
    <row r="996">
      <c r="G996">
        <f>D31</f>
        <v/>
      </c>
    </row>
    <row r="997">
      <c r="G997">
        <f>D30</f>
        <v/>
      </c>
    </row>
    <row r="999">
      <c r="E999">
        <f>E26</f>
        <v/>
      </c>
    </row>
  </sheetData>
  <mergeCells count="13">
    <mergeCell ref="B6:C6"/>
    <mergeCell ref="B2:C2"/>
    <mergeCell ref="A10:F10"/>
    <mergeCell ref="A28:F28"/>
    <mergeCell ref="B7:C7"/>
    <mergeCell ref="A33:C33"/>
    <mergeCell ref="B3:C3"/>
    <mergeCell ref="B5:C5"/>
    <mergeCell ref="A1:F1"/>
    <mergeCell ref="A26:D26"/>
    <mergeCell ref="E33:F33"/>
    <mergeCell ref="B8:C8"/>
    <mergeCell ref="B4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" customWidth="1" min="3" max="3"/>
    <col width="14" customWidth="1" min="4" max="4"/>
    <col width="14" customWidth="1" min="5" max="5"/>
    <col width="38" customWidth="1" min="6" max="6"/>
    <col width="1" customWidth="1" min="7" max="7"/>
  </cols>
  <sheetData>
    <row r="1" ht="26" customHeight="1">
      <c r="A1" s="14" t="inlineStr">
        <is>
          <t>BK ADITYA MULTISPECIALTY HOSPITAL — PATIENT BILL  #39</t>
        </is>
      </c>
    </row>
    <row r="2">
      <c r="A2" s="15" t="inlineStr">
        <is>
          <t>Patient Name</t>
        </is>
      </c>
      <c r="B2" s="16" t="inlineStr">
        <is>
          <t>MD Molla</t>
        </is>
      </c>
    </row>
    <row r="3">
      <c r="A3" s="15" t="inlineStr">
        <is>
          <t>Date</t>
        </is>
      </c>
      <c r="B3" s="17" t="inlineStr">
        <is>
          <t>22/06/2026</t>
        </is>
      </c>
    </row>
    <row r="4">
      <c r="A4" s="15" t="inlineStr">
        <is>
          <t>Doctor</t>
        </is>
      </c>
      <c r="B4" s="17" t="inlineStr">
        <is>
          <t>Dr. K. Digga</t>
        </is>
      </c>
    </row>
    <row r="5">
      <c r="A5" s="15" t="inlineStr">
        <is>
          <t>Procedure</t>
        </is>
      </c>
      <c r="B5" s="16" t="inlineStr">
        <is>
          <t>Block OT + Ward</t>
        </is>
      </c>
    </row>
    <row r="6">
      <c r="A6" s="15" t="inlineStr">
        <is>
          <t>Anaesthesia</t>
        </is>
      </c>
      <c r="B6" s="17" t="inlineStr">
        <is>
          <t>Spinal</t>
        </is>
      </c>
    </row>
    <row r="7">
      <c r="A7" s="15" t="inlineStr">
        <is>
          <t>OT Hours</t>
        </is>
      </c>
      <c r="B7" s="18" t="n">
        <v>1</v>
      </c>
    </row>
    <row r="8">
      <c r="A8" s="15" t="inlineStr">
        <is>
          <t>Bed Days</t>
        </is>
      </c>
      <c r="B8" s="18" t="n">
        <v>1</v>
      </c>
    </row>
    <row r="10" ht="20" customHeight="1">
      <c r="A10" s="19" t="inlineStr">
        <is>
          <t>A.  CONSUMABLES / MEDICINES</t>
        </is>
      </c>
    </row>
    <row r="11" ht="18" customHeight="1">
      <c r="A11" s="6" t="inlineStr">
        <is>
          <t>#</t>
        </is>
      </c>
      <c r="B11" s="6" t="inlineStr">
        <is>
          <t>Item Description</t>
        </is>
      </c>
      <c r="C11" s="6" t="inlineStr">
        <is>
          <t>Qty</t>
        </is>
      </c>
      <c r="D11" s="6" t="inlineStr">
        <is>
          <t>Rate (MRP ₹)</t>
        </is>
      </c>
      <c r="E11" s="6" t="inlineStr">
        <is>
          <t>Amount (₹)</t>
        </is>
      </c>
      <c r="F11" s="6" t="inlineStr">
        <is>
          <t>Notes</t>
        </is>
      </c>
    </row>
    <row r="12" ht="18" customHeight="1">
      <c r="A12" s="7" t="n">
        <v>1</v>
      </c>
      <c r="B12" s="9" t="inlineStr">
        <is>
          <t>Easyfix</t>
        </is>
      </c>
      <c r="C12" s="20" t="n">
        <v>1</v>
      </c>
      <c r="D12" s="21" t="n">
        <v>900</v>
      </c>
      <c r="E12" s="21">
        <f>C12*D12</f>
        <v/>
      </c>
      <c r="F12" s="22" t="inlineStr">
        <is>
          <t>SL48 / Easyfix (Adhesive Film Dressing)</t>
        </is>
      </c>
    </row>
    <row r="13" ht="18" customHeight="1">
      <c r="A13" s="7" t="n">
        <v>2</v>
      </c>
      <c r="B13" s="9" t="inlineStr">
        <is>
          <t>IV Cannula 20G</t>
        </is>
      </c>
      <c r="C13" s="20" t="n">
        <v>1</v>
      </c>
      <c r="D13" s="21" t="n">
        <v>202.55</v>
      </c>
      <c r="E13" s="21">
        <f>C13*D13</f>
        <v/>
      </c>
      <c r="F13" s="22" t="inlineStr">
        <is>
          <t>SL45 / IV Cannula 20G / Venflon 20G</t>
        </is>
      </c>
    </row>
    <row r="14" ht="18" customHeight="1">
      <c r="A14" s="7" t="n">
        <v>3</v>
      </c>
      <c r="B14" s="9" t="inlineStr">
        <is>
          <t>IV Set</t>
        </is>
      </c>
      <c r="C14" s="20" t="n">
        <v>1</v>
      </c>
      <c r="D14" s="21" t="n">
        <v>201</v>
      </c>
      <c r="E14" s="21">
        <f>C14*D14</f>
        <v/>
      </c>
      <c r="F14" s="22" t="inlineStr">
        <is>
          <t>SL44 / IV Set / Sangoflex</t>
        </is>
      </c>
    </row>
    <row r="15" ht="18" customHeight="1">
      <c r="A15" s="7" t="n">
        <v>4</v>
      </c>
      <c r="B15" s="9" t="inlineStr">
        <is>
          <t>Inj. Ondem</t>
        </is>
      </c>
      <c r="C15" s="20" t="n">
        <v>2</v>
      </c>
      <c r="D15" s="21" t="n">
        <v>12.72</v>
      </c>
      <c r="E15" s="21">
        <f>C15*D15</f>
        <v/>
      </c>
      <c r="F15" s="22" t="inlineStr">
        <is>
          <t>SL29 / Inj. Ondem/Zofer/Zofar (Ondansetron</t>
        </is>
      </c>
    </row>
    <row r="16" ht="18" customHeight="1">
      <c r="A16" s="7" t="n">
        <v>5</v>
      </c>
      <c r="B16" s="9" t="inlineStr">
        <is>
          <t>Inj. Pan IV</t>
        </is>
      </c>
      <c r="C16" s="20" t="n">
        <v>2</v>
      </c>
      <c r="D16" s="21" t="n">
        <v>53.9</v>
      </c>
      <c r="E16" s="21">
        <f>C16*D16</f>
        <v/>
      </c>
      <c r="F16" s="22" t="inlineStr">
        <is>
          <t>SL33 / Inj. Pan 40 / Pantocid (Pantoprazol</t>
        </is>
      </c>
    </row>
    <row r="17" ht="18" customHeight="1">
      <c r="A17" s="7" t="n">
        <v>6</v>
      </c>
      <c r="B17" s="9" t="inlineStr">
        <is>
          <t>Inj. Xone 1g</t>
        </is>
      </c>
      <c r="C17" s="20" t="n">
        <v>2</v>
      </c>
      <c r="D17" s="21" t="n">
        <v>66.64</v>
      </c>
      <c r="E17" s="21">
        <f>C17*D17</f>
        <v/>
      </c>
      <c r="F17" s="22" t="inlineStr">
        <is>
          <t>SL16 / Inj. Xone/Monocef 1g (Ceftriaxone)</t>
        </is>
      </c>
    </row>
    <row r="18" ht="18" customHeight="1">
      <c r="A18" s="7" t="n">
        <v>7</v>
      </c>
      <c r="B18" s="9" t="inlineStr">
        <is>
          <t>D. Water 10ml</t>
        </is>
      </c>
      <c r="C18" s="20" t="n">
        <v>1</v>
      </c>
      <c r="D18" s="21" t="n">
        <v>3.24</v>
      </c>
      <c r="E18" s="21">
        <f>C18*D18</f>
        <v/>
      </c>
      <c r="F18" s="22" t="inlineStr">
        <is>
          <t>SL59 / D. Water 10ml (Sterile Water)</t>
        </is>
      </c>
    </row>
    <row r="19" ht="18" customHeight="1">
      <c r="A19" s="7" t="n">
        <v>8</v>
      </c>
      <c r="B19" s="9" t="inlineStr">
        <is>
          <t>NS 500ml</t>
        </is>
      </c>
      <c r="C19" s="20" t="n">
        <v>2</v>
      </c>
      <c r="D19" s="21" t="n">
        <v>39.05</v>
      </c>
      <c r="E19" s="21">
        <f>C19*D19</f>
        <v/>
      </c>
      <c r="F19" s="22" t="inlineStr">
        <is>
          <t>SL1 / NS 500ml — Normal Saline</t>
        </is>
      </c>
    </row>
    <row r="20" ht="18" customHeight="1">
      <c r="A20" s="7" t="n">
        <v>9</v>
      </c>
      <c r="B20" s="9" t="inlineStr">
        <is>
          <t>Inj. Diclofenac AQ (Justin)</t>
        </is>
      </c>
      <c r="C20" s="20" t="n">
        <v>2</v>
      </c>
      <c r="D20" s="21" t="n">
        <v>23.8</v>
      </c>
      <c r="E20" s="21">
        <f>C20*D20</f>
        <v/>
      </c>
      <c r="F20" s="22" t="inlineStr">
        <is>
          <t xml:space="preserve">SL22 / Inj. Dynapar/Justin AQ (Diclofenac </t>
        </is>
      </c>
    </row>
    <row r="21" ht="22" customHeight="1">
      <c r="A21" s="26" t="inlineStr">
        <is>
          <t>Consumables Sub-Total</t>
        </is>
      </c>
      <c r="E21" s="27">
        <f>SUMIF(E12:E20,"&gt;0",E12:E20)</f>
        <v/>
      </c>
      <c r="F21" s="33" t="inlineStr">
        <is>
          <t>All items priced ✓</t>
        </is>
      </c>
    </row>
    <row r="23" ht="20" customHeight="1">
      <c r="A23" s="19" t="inlineStr">
        <is>
          <t>B.  BED CHARGES  +  C.  OT CHARGES</t>
        </is>
      </c>
    </row>
    <row r="24" ht="16" customHeight="1">
      <c r="A24" s="6" t="inlineStr">
        <is>
          <t>Component</t>
        </is>
      </c>
      <c r="B24" s="6" t="inlineStr">
        <is>
          <t>Rate (₹)</t>
        </is>
      </c>
      <c r="C24" s="6" t="inlineStr">
        <is>
          <t>Units</t>
        </is>
      </c>
      <c r="D24" s="6" t="inlineStr">
        <is>
          <t>Amount (₹)</t>
        </is>
      </c>
      <c r="E24" s="6" t="inlineStr"/>
      <c r="F24" s="6" t="inlineStr"/>
    </row>
    <row r="25" ht="18" customHeight="1">
      <c r="A25" s="8" t="inlineStr">
        <is>
          <t>Bed Charge (₹/day) — Bed Days in B8</t>
        </is>
      </c>
      <c r="B25" s="21">
        <f>'RATES &amp; SUMMARY'!$B$4</f>
        <v/>
      </c>
      <c r="C25" s="28">
        <f>B8</f>
        <v/>
      </c>
      <c r="D25" s="29">
        <f>B25*C25</f>
        <v/>
      </c>
      <c r="E25" s="8" t="inlineStr"/>
      <c r="F25" s="8" t="inlineStr"/>
    </row>
    <row r="26" ht="18" customHeight="1">
      <c r="A26" s="8" t="inlineStr">
        <is>
          <t>OT Charge (₹/hr) — OT Hours in B7</t>
        </is>
      </c>
      <c r="B26" s="21">
        <f>'RATES &amp; SUMMARY'!$B$5</f>
        <v/>
      </c>
      <c r="C26" s="28">
        <f>B7</f>
        <v/>
      </c>
      <c r="D26" s="29">
        <f>B26*C26</f>
        <v/>
      </c>
      <c r="E26" s="8" t="inlineStr"/>
      <c r="F26" s="8" t="inlineStr"/>
    </row>
    <row r="28" ht="28" customHeight="1">
      <c r="A28" s="30" t="inlineStr">
        <is>
          <t>GRAND TOTAL</t>
        </is>
      </c>
      <c r="D28" s="31">
        <f>E21+D25+D26</f>
        <v/>
      </c>
      <c r="E28" s="32" t="inlineStr"/>
    </row>
    <row r="995">
      <c r="G995">
        <f>E21+D25+D26</f>
        <v/>
      </c>
    </row>
    <row r="996">
      <c r="G996">
        <f>D26</f>
        <v/>
      </c>
    </row>
    <row r="997">
      <c r="G997">
        <f>D25</f>
        <v/>
      </c>
    </row>
    <row r="999">
      <c r="E999">
        <f>E21</f>
        <v/>
      </c>
    </row>
  </sheetData>
  <mergeCells count="13">
    <mergeCell ref="A28:C28"/>
    <mergeCell ref="B6:C6"/>
    <mergeCell ref="B2:C2"/>
    <mergeCell ref="A10:F10"/>
    <mergeCell ref="B7:C7"/>
    <mergeCell ref="B3:C3"/>
    <mergeCell ref="B5:C5"/>
    <mergeCell ref="A1:F1"/>
    <mergeCell ref="A23:F23"/>
    <mergeCell ref="A21:D21"/>
    <mergeCell ref="E28:F28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2026-06-26T13:45:23Z</dcterms:created>
  <dcterms:modified xsi:type="dcterms:W3CDTF">2026-06-26T13:45:23Z</dcterms:modified>
</cp:coreProperties>
</file>