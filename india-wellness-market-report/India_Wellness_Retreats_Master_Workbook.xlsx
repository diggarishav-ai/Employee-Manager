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aster Panel" sheetId="2" state="visible" r:id="rId2"/>
    <sheet xmlns:r="http://schemas.openxmlformats.org/officeDocument/2006/relationships" name="Assumptions" sheetId="3" state="visible" r:id="rId3"/>
    <sheet xmlns:r="http://schemas.openxmlformats.org/officeDocument/2006/relationships" name="Revenue Model" sheetId="4" state="visible" r:id="rId4"/>
    <sheet xmlns:r="http://schemas.openxmlformats.org/officeDocument/2006/relationships" name="Calibration" sheetId="5" state="visible" r:id="rId5"/>
    <sheet xmlns:r="http://schemas.openxmlformats.org/officeDocument/2006/relationships" name="Pricing" sheetId="6" state="visible" r:id="rId6"/>
    <sheet xmlns:r="http://schemas.openxmlformats.org/officeDocument/2006/relationships" name="Sources"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4">
    <font>
      <name val="Calibri"/>
      <family val="2"/>
      <color theme="1"/>
      <sz val="11"/>
      <scheme val="minor"/>
    </font>
    <font>
      <name val="Arial"/>
      <b val="1"/>
      <color rgb="001F3864"/>
      <sz val="16"/>
    </font>
    <font>
      <name val="Arial"/>
      <i val="1"/>
      <color rgb="00595959"/>
      <sz val="11"/>
    </font>
    <font>
      <name val="Arial"/>
      <b val="1"/>
      <color rgb="001F3864"/>
      <sz val="10"/>
    </font>
    <font>
      <name val="Arial"/>
      <sz val="10"/>
    </font>
    <font>
      <name val="Arial"/>
      <b val="1"/>
      <sz val="10"/>
    </font>
    <font>
      <name val="Arial"/>
      <b val="1"/>
      <color rgb="001F3864"/>
      <sz val="13"/>
    </font>
    <font>
      <name val="Arial"/>
      <b val="1"/>
      <color rgb="00FFFFFF"/>
      <sz val="11"/>
    </font>
    <font>
      <name val="Arial"/>
      <color rgb="000000FF"/>
      <sz val="10"/>
    </font>
    <font>
      <name val="Arial"/>
      <color rgb="00595959"/>
      <sz val="9"/>
    </font>
    <font>
      <name val="Arial"/>
      <i val="1"/>
      <color rgb="00595959"/>
      <sz val="9"/>
    </font>
    <font>
      <name val="Arial"/>
      <b val="1"/>
      <color rgb="00C00000"/>
      <sz val="11"/>
    </font>
    <font>
      <name val="Arial"/>
      <color rgb="00008000"/>
      <sz val="10"/>
    </font>
    <font>
      <name val="Arial"/>
      <b val="1"/>
      <color rgb="001F3864"/>
      <sz val="11"/>
    </font>
  </fonts>
  <fills count="5">
    <fill>
      <patternFill/>
    </fill>
    <fill>
      <patternFill patternType="gray125"/>
    </fill>
    <fill>
      <patternFill patternType="solid">
        <fgColor rgb="001F3864"/>
      </patternFill>
    </fill>
    <fill>
      <patternFill patternType="solid">
        <fgColor rgb="00F2F5F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horizontal="left" vertical="center"/>
    </xf>
    <xf numFmtId="0" fontId="4" fillId="0" borderId="1" applyAlignment="1" pivotButton="0" quotePrefix="0" xfId="0">
      <alignment horizontal="left" vertical="center"/>
    </xf>
    <xf numFmtId="0" fontId="8" fillId="0" borderId="1" applyAlignment="1" pivotButton="0" quotePrefix="0" xfId="0">
      <alignment horizontal="center" vertical="center"/>
    </xf>
    <xf numFmtId="0" fontId="9" fillId="0" borderId="1" applyAlignment="1" pivotButton="0" quotePrefix="0" xfId="0">
      <alignment horizontal="center" vertical="center"/>
    </xf>
    <xf numFmtId="0" fontId="9" fillId="0" borderId="1" applyAlignment="1" pivotButton="0" quotePrefix="0" xfId="0">
      <alignment vertical="top" wrapText="1"/>
    </xf>
    <xf numFmtId="0" fontId="4" fillId="3" borderId="1" applyAlignment="1" pivotButton="0" quotePrefix="0" xfId="0">
      <alignment horizontal="center" vertical="center"/>
    </xf>
    <xf numFmtId="0" fontId="5" fillId="3" borderId="1" applyAlignment="1" pivotButton="0" quotePrefix="0" xfId="0">
      <alignment horizontal="left" vertical="center"/>
    </xf>
    <xf numFmtId="0" fontId="4" fillId="3" borderId="1" applyAlignment="1" pivotButton="0" quotePrefix="0" xfId="0">
      <alignment horizontal="left" vertical="center"/>
    </xf>
    <xf numFmtId="0" fontId="8" fillId="3" borderId="1" applyAlignment="1" pivotButton="0" quotePrefix="0" xfId="0">
      <alignment horizontal="center" vertical="center"/>
    </xf>
    <xf numFmtId="0" fontId="9" fillId="3" borderId="1" applyAlignment="1" pivotButton="0" quotePrefix="0" xfId="0">
      <alignment horizontal="center" vertical="center"/>
    </xf>
    <xf numFmtId="0" fontId="9" fillId="3" borderId="1" applyAlignment="1" pivotButton="0" quotePrefix="0" xfId="0">
      <alignment vertical="top" wrapText="1"/>
    </xf>
    <xf numFmtId="0" fontId="10" fillId="0" borderId="0" pivotButton="0" quotePrefix="0" xfId="0"/>
    <xf numFmtId="0" fontId="10" fillId="0" borderId="0" applyAlignment="1" pivotButton="0" quotePrefix="0" xfId="0">
      <alignment vertical="top" wrapText="1"/>
    </xf>
    <xf numFmtId="0" fontId="5" fillId="0" borderId="1" pivotButton="0" quotePrefix="0" xfId="0"/>
    <xf numFmtId="164" fontId="8" fillId="4" borderId="1" applyAlignment="1" pivotButton="0" quotePrefix="0" xfId="0">
      <alignment horizontal="center" vertical="center"/>
    </xf>
    <xf numFmtId="0" fontId="9" fillId="0" borderId="1" pivotButton="0" quotePrefix="0" xfId="0"/>
    <xf numFmtId="0" fontId="11" fillId="0" borderId="0" pivotButton="0" quotePrefix="0" xfId="0"/>
    <xf numFmtId="0" fontId="4" fillId="0" borderId="1" pivotButton="0" quotePrefix="0" xfId="0"/>
    <xf numFmtId="0" fontId="12" fillId="0" borderId="1" pivotButton="0" quotePrefix="0" xfId="0"/>
    <xf numFmtId="164" fontId="4" fillId="0" borderId="1" pivotButton="0" quotePrefix="0" xfId="0"/>
    <xf numFmtId="3" fontId="8" fillId="4" borderId="1" pivotButton="0" quotePrefix="0" xfId="0"/>
    <xf numFmtId="3" fontId="4" fillId="0" borderId="1" pivotButton="0" quotePrefix="0" xfId="0"/>
    <xf numFmtId="165" fontId="4" fillId="0" borderId="1" pivotButton="0" quotePrefix="0" xfId="0"/>
    <xf numFmtId="165" fontId="8" fillId="0" borderId="1" pivotButton="0" quotePrefix="0" xfId="0"/>
    <xf numFmtId="4" fontId="4" fillId="0" borderId="1" pivotButton="0" quotePrefix="0" xfId="0"/>
    <xf numFmtId="0" fontId="4" fillId="3" borderId="1" pivotButton="0" quotePrefix="0" xfId="0"/>
    <xf numFmtId="0" fontId="5" fillId="3" borderId="1" pivotButton="0" quotePrefix="0" xfId="0"/>
    <xf numFmtId="0" fontId="12" fillId="3" borderId="1" pivotButton="0" quotePrefix="0" xfId="0"/>
    <xf numFmtId="164" fontId="4" fillId="3" borderId="1" pivotButton="0" quotePrefix="0" xfId="0"/>
    <xf numFmtId="3" fontId="4" fillId="3" borderId="1" pivotButton="0" quotePrefix="0" xfId="0"/>
    <xf numFmtId="165" fontId="4" fillId="3" borderId="1" pivotButton="0" quotePrefix="0" xfId="0"/>
    <xf numFmtId="165" fontId="8" fillId="3" borderId="1" pivotButton="0" quotePrefix="0" xfId="0"/>
    <xf numFmtId="4" fontId="4" fillId="3" borderId="1" pivotButton="0" quotePrefix="0" xfId="0"/>
    <xf numFmtId="4" fontId="8" fillId="0" borderId="1"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9"/>
  <sheetViews>
    <sheetView workbookViewId="0">
      <selection activeCell="A1" sqref="A1"/>
    </sheetView>
  </sheetViews>
  <sheetFormatPr baseColWidth="8" defaultRowHeight="15"/>
  <cols>
    <col width="4" customWidth="1" min="1" max="1"/>
    <col width="26" customWidth="1" min="2" max="2"/>
    <col width="100" customWidth="1" min="3" max="3"/>
  </cols>
  <sheetData>
    <row r="2">
      <c r="B2" s="1" t="inlineStr">
        <is>
          <t>INDIA WELLNESS RETREATS — MASTER DATA WORKBOOK</t>
        </is>
      </c>
    </row>
    <row r="3">
      <c r="B3" s="2" t="inlineStr">
        <is>
          <t>Report B — Opportunity &amp; Operating Performance Analysis</t>
        </is>
      </c>
    </row>
    <row r="4">
      <c r="B4" s="3" t="inlineStr"/>
      <c r="C4" s="4" t="inlineStr"/>
    </row>
    <row r="5">
      <c r="B5" s="5" t="inlineStr">
        <is>
          <t>PURPOSE</t>
        </is>
      </c>
      <c r="C5" s="4" t="inlineStr">
        <is>
          <t>Evidence base for the 24-property operating analysis. Every downstream chart and every figure in the deck derives from this workbook.</t>
        </is>
      </c>
    </row>
    <row r="6">
      <c r="B6" s="3" t="inlineStr"/>
      <c r="C6" s="4" t="inlineStr"/>
    </row>
    <row r="7">
      <c r="B7" s="5" t="inlineStr">
        <is>
          <t>THE CORE PROBLEM</t>
        </is>
      </c>
      <c r="C7" s="4" t="inlineStr">
        <is>
          <t>Indian wellness retreats publish pricing. None publish occupancy or revenue. Any occupancy figure quoted for these properties without a stated method is a guess. This workbook shows its method and labels every cell.</t>
        </is>
      </c>
    </row>
    <row r="8">
      <c r="B8" s="3" t="inlineStr"/>
      <c r="C8" s="4" t="inlineStr"/>
    </row>
    <row r="9">
      <c r="B9" s="5" t="inlineStr">
        <is>
          <t>TIER LEGEND</t>
        </is>
      </c>
      <c r="C9" s="4" t="inlineStr"/>
    </row>
    <row r="10">
      <c r="B10" s="3" t="inlineStr">
        <is>
          <t xml:space="preserve">  T1 — Hard</t>
        </is>
      </c>
      <c r="C10" s="4" t="inlineStr">
        <is>
          <t>Published or filed fact: company rate cards, key counts, deal filings, audited financials. Treat as fact.</t>
        </is>
      </c>
    </row>
    <row r="11">
      <c r="B11" s="3" t="inlineStr">
        <is>
          <t xml:space="preserve">  T2 — Derived</t>
        </is>
      </c>
      <c r="C11" s="4" t="inlineStr">
        <is>
          <t>Observed indirectly and computed: availability sampling, review velocity, site imagery, press. Reliable but not certain.</t>
        </is>
      </c>
    </row>
    <row r="12">
      <c r="B12" s="3" t="inlineStr">
        <is>
          <t xml:space="preserve">  T3 — Modelled</t>
        </is>
      </c>
      <c r="C12" s="4" t="inlineStr">
        <is>
          <t>Built from T1/T2 via a stated formula. Directional. Error band applies.</t>
        </is>
      </c>
    </row>
    <row r="13">
      <c r="B13" s="3" t="inlineStr">
        <is>
          <t xml:space="preserve">  T4 — Judgement</t>
        </is>
      </c>
      <c r="C13" s="4" t="inlineStr">
        <is>
          <t>Analyst estimate where nothing else exists. Lowest confidence — flagged and user-overridable.</t>
        </is>
      </c>
    </row>
    <row r="14">
      <c r="B14" s="3" t="inlineStr"/>
      <c r="C14" s="4" t="inlineStr"/>
    </row>
    <row r="15">
      <c r="B15" s="5" t="inlineStr">
        <is>
          <t>COLOUR CONVENTION</t>
        </is>
      </c>
      <c r="C15" s="4" t="inlineStr">
        <is>
          <t>Blue text = hardcoded input you can override.  Black text = formula.  Yellow fill = key assumption driving downstream results.</t>
        </is>
      </c>
    </row>
    <row r="16">
      <c r="B16" s="3" t="inlineStr"/>
      <c r="C16" s="4" t="inlineStr"/>
    </row>
    <row r="17">
      <c r="B17" s="5" t="inlineStr">
        <is>
          <t>SHEETS</t>
        </is>
      </c>
      <c r="C17" s="4" t="inlineStr"/>
    </row>
    <row r="18">
      <c r="B18" s="3" t="inlineStr">
        <is>
          <t xml:space="preserve">  Master Panel</t>
        </is>
      </c>
      <c r="C18" s="4" t="inlineStr">
        <is>
          <t>24 properties × core attributes. The spine.</t>
        </is>
      </c>
    </row>
    <row r="19">
      <c r="B19" s="3" t="inlineStr">
        <is>
          <t xml:space="preserve">  Pricing</t>
        </is>
      </c>
      <c r="C19" s="4" t="inlineStr">
        <is>
          <t>Published rate-card data (T1) and the normalisation to a common unit.</t>
        </is>
      </c>
    </row>
    <row r="20">
      <c r="B20" s="3" t="inlineStr">
        <is>
          <t xml:space="preserve">  Assumptions</t>
        </is>
      </c>
      <c r="C20" s="4" t="inlineStr">
        <is>
          <t>Occupancy by archetype. Change these and the whole model moves.</t>
        </is>
      </c>
    </row>
    <row r="21">
      <c r="B21" s="3" t="inlineStr">
        <is>
          <t xml:space="preserve">  Revenue Model</t>
        </is>
      </c>
      <c r="C21" s="4" t="inlineStr">
        <is>
          <t>Formula-driven revenue estimates, revenue per key, revenue per acre.</t>
        </is>
      </c>
    </row>
    <row r="22">
      <c r="B22" s="3" t="inlineStr">
        <is>
          <t xml:space="preserve">  Calibration</t>
        </is>
      </c>
      <c r="C22" s="4" t="inlineStr">
        <is>
          <t>The Atmantan anchor — the one real transaction that validates the model.</t>
        </is>
      </c>
    </row>
    <row r="23">
      <c r="B23" s="3" t="inlineStr">
        <is>
          <t xml:space="preserve">  Sources</t>
        </is>
      </c>
      <c r="C23" s="4" t="inlineStr">
        <is>
          <t>Every source used, with what it supports.</t>
        </is>
      </c>
    </row>
    <row r="24">
      <c r="B24" s="3" t="inlineStr"/>
      <c r="C24" s="4" t="inlineStr"/>
    </row>
    <row r="25">
      <c r="B25" s="5" t="inlineStr">
        <is>
          <t>CRITICAL METHOD NOTE</t>
        </is>
      </c>
      <c r="C25" s="4" t="inlineStr">
        <is>
          <t>Room ADR is NOT comparable across this panel. Jindal unbundles (room charged separately from treatment, diet and consultation free) while Ananda, Vana and Atmantan sell all-inclusive programmes. All comparison therefore runs on Total Revenue per Occupied Room-Night (TROR), not room rate.</t>
        </is>
      </c>
    </row>
    <row r="26">
      <c r="B26" s="3" t="inlineStr"/>
      <c r="C26" s="4" t="inlineStr"/>
    </row>
    <row r="27">
      <c r="B27" s="5" t="inlineStr">
        <is>
          <t>FORMULA CELLS SHOW BLANK UNTIL OPENED</t>
        </is>
      </c>
      <c r="C27" s="4" t="inlineStr">
        <is>
          <t>This workbook was generated programmatically, so formula cells carry no cached result yet. Excel (or Sheets) computes them the moment the file is opened. If a previewer shows the formula columns as empty, open the file properly — the model is live, not broken.</t>
        </is>
      </c>
    </row>
    <row r="28">
      <c r="B28" s="3" t="inlineStr"/>
      <c r="C28" s="4" t="inlineStr"/>
    </row>
    <row r="29">
      <c r="B29" s="5" t="inlineStr">
        <is>
          <t>KNOWN GAPS</t>
        </is>
      </c>
      <c r="C29" s="4" t="inlineStr">
        <is>
          <t>Cells left blank are NOT zero — they are 'not verified in this research pass'. They were deliberately left empty rather than filled with a recalled figure presented as data. MCA/RoC filings were not accessible in this environment, so only Atmantan carries a filed revenue figure.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24" customWidth="1" min="3" max="3"/>
    <col width="14" customWidth="1" min="4" max="4"/>
    <col width="22" customWidth="1" min="5" max="5"/>
    <col width="8" customWidth="1" min="6" max="6"/>
    <col width="6" customWidth="1" min="7" max="7"/>
    <col width="11" customWidth="1" min="8" max="8"/>
    <col width="6" customWidth="1" min="9" max="9"/>
    <col width="9" customWidth="1" min="10" max="10"/>
    <col width="22" customWidth="1" min="11" max="11"/>
    <col width="26" customWidth="1" min="12" max="12"/>
    <col width="72" customWidth="1" min="13" max="13"/>
  </cols>
  <sheetData>
    <row r="1">
      <c r="A1" s="6" t="inlineStr">
        <is>
          <t>MASTER PANEL — 24 PROPERTIES</t>
        </is>
      </c>
    </row>
    <row r="3" ht="32" customHeight="1">
      <c r="A3" s="7" t="inlineStr">
        <is>
          <t>#</t>
        </is>
      </c>
      <c r="B3" s="7" t="inlineStr">
        <is>
          <t>Property</t>
        </is>
      </c>
      <c r="C3" s="7" t="inlineStr">
        <is>
          <t>Archetype</t>
        </is>
      </c>
      <c r="D3" s="7" t="inlineStr">
        <is>
          <t>State</t>
        </is>
      </c>
      <c r="E3" s="7" t="inlineStr">
        <is>
          <t>Location</t>
        </is>
      </c>
      <c r="F3" s="7" t="inlineStr">
        <is>
          <t>Keys</t>
        </is>
      </c>
      <c r="G3" s="7" t="inlineStr">
        <is>
          <t>Tier</t>
        </is>
      </c>
      <c r="H3" s="7" t="inlineStr">
        <is>
          <t>Land (acres)</t>
        </is>
      </c>
      <c r="I3" s="7" t="inlineStr">
        <is>
          <t>Tier</t>
        </is>
      </c>
      <c r="J3" s="7" t="inlineStr">
        <is>
          <t>Opened</t>
        </is>
      </c>
      <c r="K3" s="7" t="inlineStr">
        <is>
          <t>Revenue architecture</t>
        </is>
      </c>
      <c r="L3" s="7" t="inlineStr">
        <is>
          <t>Ownership</t>
        </is>
      </c>
      <c r="M3" s="7" t="inlineStr">
        <is>
          <t>Notes / evidence</t>
        </is>
      </c>
    </row>
    <row r="4" ht="34" customHeight="1">
      <c r="A4" s="8" t="n">
        <v>1</v>
      </c>
      <c r="B4" s="9" t="inlineStr">
        <is>
          <t>Ananda in the Himalayas</t>
        </is>
      </c>
      <c r="C4" s="10" t="inlineStr">
        <is>
          <t>Luxury medical wellness</t>
        </is>
      </c>
      <c r="D4" s="10" t="inlineStr">
        <is>
          <t>Uttarakhand</t>
        </is>
      </c>
      <c r="E4" s="10" t="inlineStr">
        <is>
          <t>Narendra Nagar</t>
        </is>
      </c>
      <c r="F4" s="11" t="n">
        <v>78</v>
      </c>
      <c r="G4" s="12" t="inlineStr">
        <is>
          <t>T1</t>
        </is>
      </c>
      <c r="H4" s="11" t="n">
        <v>100</v>
      </c>
      <c r="I4" s="12" t="inlineStr">
        <is>
          <t>T1</t>
        </is>
      </c>
      <c r="J4" s="8" t="n">
        <v>2000</v>
      </c>
      <c r="K4" s="10" t="inlineStr">
        <is>
          <t>Bundled programme</t>
        </is>
      </c>
      <c r="L4" s="10" t="inlineStr">
        <is>
          <t>Owned (IHHR Hospitality)</t>
        </is>
      </c>
      <c r="M4" s="13" t="inlineStr">
        <is>
          <t>14 structured programmes, 7-21 nights. Palace estate.</t>
        </is>
      </c>
    </row>
    <row r="5" ht="34" customHeight="1">
      <c r="A5" s="14" t="n">
        <v>2</v>
      </c>
      <c r="B5" s="15" t="inlineStr">
        <is>
          <t>Six Senses Vana</t>
        </is>
      </c>
      <c r="C5" s="16" t="inlineStr">
        <is>
          <t>Luxury medical wellness</t>
        </is>
      </c>
      <c r="D5" s="16" t="inlineStr">
        <is>
          <t>Uttarakhand</t>
        </is>
      </c>
      <c r="E5" s="16" t="inlineStr">
        <is>
          <t>Dehradun</t>
        </is>
      </c>
      <c r="F5" s="17" t="n">
        <v>82</v>
      </c>
      <c r="G5" s="18" t="inlineStr">
        <is>
          <t>T1</t>
        </is>
      </c>
      <c r="H5" s="17" t="n">
        <v>21</v>
      </c>
      <c r="I5" s="18" t="inlineStr">
        <is>
          <t>T1</t>
        </is>
      </c>
      <c r="J5" s="14" t="n">
        <v>2014</v>
      </c>
      <c r="K5" s="16" t="inlineStr">
        <is>
          <t>Bundled programme</t>
        </is>
      </c>
      <c r="L5" s="16" t="inlineStr">
        <is>
          <t>Owned; Six Senses managed</t>
        </is>
      </c>
      <c r="M5" s="19" t="inlineStr">
        <is>
          <t>66 rooms + 16 suites. Programmes 5-21 nights. From ~US$570/night.</t>
        </is>
      </c>
    </row>
    <row r="6" ht="34" customHeight="1">
      <c r="A6" s="8" t="n">
        <v>3</v>
      </c>
      <c r="B6" s="9" t="inlineStr">
        <is>
          <t>Atmantan Wellness Centre</t>
        </is>
      </c>
      <c r="C6" s="10" t="inlineStr">
        <is>
          <t>Luxury medical wellness</t>
        </is>
      </c>
      <c r="D6" s="10" t="inlineStr">
        <is>
          <t>Maharashtra</t>
        </is>
      </c>
      <c r="E6" s="10" t="inlineStr">
        <is>
          <t>Mulshi, Pune</t>
        </is>
      </c>
      <c r="F6" s="11" t="n">
        <v>97</v>
      </c>
      <c r="G6" s="12" t="inlineStr">
        <is>
          <t>T1</t>
        </is>
      </c>
      <c r="H6" s="11" t="n">
        <v>36</v>
      </c>
      <c r="I6" s="12" t="inlineStr">
        <is>
          <t>T1</t>
        </is>
      </c>
      <c r="J6" s="8" t="n">
        <v>2016</v>
      </c>
      <c r="K6" s="10" t="inlineStr">
        <is>
          <t>Bundled programme</t>
        </is>
      </c>
      <c r="L6" s="10" t="inlineStr">
        <is>
          <t>IHCL 51% (Sparsh Infratech)</t>
        </is>
      </c>
      <c r="M6" s="13" t="inlineStr">
        <is>
          <t>ANCHOR CASE. FY25 revenue Rs 76.7cr; EV Rs 415cr; IHCL paid Rs 232.21cr for 51%.</t>
        </is>
      </c>
    </row>
    <row r="7" ht="34" customHeight="1">
      <c r="A7" s="14" t="n">
        <v>4</v>
      </c>
      <c r="B7" s="15" t="inlineStr">
        <is>
          <t>SOUKYA International</t>
        </is>
      </c>
      <c r="C7" s="16" t="inlineStr">
        <is>
          <t>Luxury medical wellness</t>
        </is>
      </c>
      <c r="D7" s="16" t="inlineStr">
        <is>
          <t>Karnataka</t>
        </is>
      </c>
      <c r="E7" s="16" t="inlineStr">
        <is>
          <t>Whitefield, Bengaluru</t>
        </is>
      </c>
      <c r="F7" s="17" t="n">
        <v>25</v>
      </c>
      <c r="G7" s="18" t="inlineStr">
        <is>
          <t>T1</t>
        </is>
      </c>
      <c r="H7" s="17" t="n">
        <v>30</v>
      </c>
      <c r="I7" s="18" t="inlineStr">
        <is>
          <t>T1</t>
        </is>
      </c>
      <c r="J7" s="14" t="n">
        <v>2002</v>
      </c>
      <c r="K7" s="16" t="inlineStr">
        <is>
          <t>Bundled programme</t>
        </is>
      </c>
      <c r="L7" s="16" t="inlineStr">
        <is>
          <t>Promoter-owned (Dr Mathai)</t>
        </is>
      </c>
      <c r="M7" s="19" t="inlineStr">
        <is>
          <t>21 deluxe rooms + 4 suites. Integrative: Ayurveda, homeopathy, naturopathy, yoga.</t>
        </is>
      </c>
    </row>
    <row r="8" ht="34" customHeight="1">
      <c r="A8" s="8" t="n">
        <v>5</v>
      </c>
      <c r="B8" s="9" t="inlineStr">
        <is>
          <t>Dharana at Shillim</t>
        </is>
      </c>
      <c r="C8" s="10" t="inlineStr">
        <is>
          <t>Luxury medical wellness</t>
        </is>
      </c>
      <c r="D8" s="10" t="inlineStr">
        <is>
          <t>Maharashtra</t>
        </is>
      </c>
      <c r="E8" s="10" t="inlineStr">
        <is>
          <t>Shillim, Lonavala</t>
        </is>
      </c>
      <c r="F8" s="11" t="inlineStr"/>
      <c r="G8" s="12" t="inlineStr"/>
      <c r="H8" s="11" t="n">
        <v>2500</v>
      </c>
      <c r="I8" s="12" t="inlineStr">
        <is>
          <t>T2</t>
        </is>
      </c>
      <c r="J8" s="8" t="n">
        <v>2018</v>
      </c>
      <c r="K8" s="10" t="inlineStr">
        <is>
          <t>Bundled programme</t>
        </is>
      </c>
      <c r="L8" s="10" t="inlineStr">
        <is>
          <t>Owned</t>
        </is>
      </c>
      <c r="M8" s="13" t="inlineStr">
        <is>
          <t>Set within a 2,500-acre estate; built footprint far smaller. Keys TO VERIFY.</t>
        </is>
      </c>
    </row>
    <row r="9" ht="34" customHeight="1">
      <c r="A9" s="14" t="n">
        <v>6</v>
      </c>
      <c r="B9" s="15" t="inlineStr">
        <is>
          <t>Kalari Kovilakom</t>
        </is>
      </c>
      <c r="C9" s="16" t="inlineStr">
        <is>
          <t>Classical Ayurveda purist</t>
        </is>
      </c>
      <c r="D9" s="16" t="inlineStr">
        <is>
          <t>Kerala</t>
        </is>
      </c>
      <c r="E9" s="16" t="inlineStr">
        <is>
          <t>Kollengode, Palakkad</t>
        </is>
      </c>
      <c r="F9" s="17" t="inlineStr"/>
      <c r="G9" s="18" t="inlineStr"/>
      <c r="H9" s="17" t="inlineStr"/>
      <c r="I9" s="18" t="inlineStr"/>
      <c r="J9" s="14" t="n">
        <v>2004</v>
      </c>
      <c r="K9" s="16" t="inlineStr">
        <is>
          <t>Bundled programme</t>
        </is>
      </c>
      <c r="L9" s="16" t="inlineStr">
        <is>
          <t>CGH Earth</t>
        </is>
      </c>
      <c r="M9" s="19" t="inlineStr">
        <is>
          <t>Min stay 14 nights. EUR 6,600 dbl / EUR 11,220 sgl for 14 days (Kovilakom suite).</t>
        </is>
      </c>
    </row>
    <row r="10" ht="34" customHeight="1">
      <c r="A10" s="8" t="n">
        <v>7</v>
      </c>
      <c r="B10" s="9" t="inlineStr">
        <is>
          <t>Vaidyagrama</t>
        </is>
      </c>
      <c r="C10" s="10" t="inlineStr">
        <is>
          <t>Classical Ayurveda purist</t>
        </is>
      </c>
      <c r="D10" s="10" t="inlineStr">
        <is>
          <t>Tamil Nadu</t>
        </is>
      </c>
      <c r="E10" s="10" t="inlineStr">
        <is>
          <t>Coimbatore</t>
        </is>
      </c>
      <c r="F10" s="11" t="inlineStr"/>
      <c r="G10" s="12" t="inlineStr"/>
      <c r="H10" s="11" t="inlineStr"/>
      <c r="I10" s="12" t="inlineStr"/>
      <c r="J10" s="8" t="n">
        <v>2009</v>
      </c>
      <c r="K10" s="10" t="inlineStr">
        <is>
          <t>Bundled programme</t>
        </is>
      </c>
      <c r="L10" s="10" t="inlineStr">
        <is>
          <t>Promoter-owned</t>
        </is>
      </c>
      <c r="M10" s="13" t="inlineStr">
        <is>
          <t>Classical/authentic positioning, low-frills. TO VERIFY.</t>
        </is>
      </c>
    </row>
    <row r="11" ht="34" customHeight="1">
      <c r="A11" s="14" t="n">
        <v>8</v>
      </c>
      <c r="B11" s="15" t="inlineStr">
        <is>
          <t>Amal Tamara</t>
        </is>
      </c>
      <c r="C11" s="16" t="inlineStr">
        <is>
          <t>Classical Ayurveda purist</t>
        </is>
      </c>
      <c r="D11" s="16" t="inlineStr">
        <is>
          <t>Kerala</t>
        </is>
      </c>
      <c r="E11" s="16" t="inlineStr">
        <is>
          <t>Alappuzha</t>
        </is>
      </c>
      <c r="F11" s="17" t="inlineStr"/>
      <c r="G11" s="18" t="inlineStr"/>
      <c r="H11" s="17" t="inlineStr"/>
      <c r="I11" s="18" t="inlineStr"/>
      <c r="J11" s="14" t="n">
        <v>2022</v>
      </c>
      <c r="K11" s="16" t="inlineStr">
        <is>
          <t>Bundled programme</t>
        </is>
      </c>
      <c r="L11" s="16" t="inlineStr">
        <is>
          <t>Owned</t>
        </is>
      </c>
      <c r="M11" s="19" t="inlineStr">
        <is>
          <t>Newer entrant, classical Ayurveda. TO VERIFY.</t>
        </is>
      </c>
    </row>
    <row r="12" ht="34" customHeight="1">
      <c r="A12" s="8" t="n">
        <v>9</v>
      </c>
      <c r="B12" s="9" t="inlineStr">
        <is>
          <t>Somatheeram Ayurveda Village</t>
        </is>
      </c>
      <c r="C12" s="10" t="inlineStr">
        <is>
          <t>Classical Ayurveda purist</t>
        </is>
      </c>
      <c r="D12" s="10" t="inlineStr">
        <is>
          <t>Kerala</t>
        </is>
      </c>
      <c r="E12" s="10" t="inlineStr">
        <is>
          <t>Chowara, Kovalam</t>
        </is>
      </c>
      <c r="F12" s="11" t="inlineStr"/>
      <c r="G12" s="12" t="inlineStr"/>
      <c r="H12" s="11" t="n">
        <v>15</v>
      </c>
      <c r="I12" s="12" t="inlineStr">
        <is>
          <t>T1</t>
        </is>
      </c>
      <c r="J12" s="8" t="n">
        <v>1985</v>
      </c>
      <c r="K12" s="10" t="inlineStr">
        <is>
          <t>Bundled programme</t>
        </is>
      </c>
      <c r="L12" s="10" t="inlineStr">
        <is>
          <t>Promoter-owned</t>
        </is>
      </c>
      <c r="M12" s="13" t="inlineStr">
        <is>
          <t>Claims world's first Ayurvedic resort. 30+ years operating.</t>
        </is>
      </c>
    </row>
    <row r="13" ht="34" customHeight="1">
      <c r="A13" s="14" t="n">
        <v>10</v>
      </c>
      <c r="B13" s="15" t="inlineStr">
        <is>
          <t>Kairali Ayurvedic Healing Village</t>
        </is>
      </c>
      <c r="C13" s="16" t="inlineStr">
        <is>
          <t>Classical Ayurveda purist</t>
        </is>
      </c>
      <c r="D13" s="16" t="inlineStr">
        <is>
          <t>Kerala</t>
        </is>
      </c>
      <c r="E13" s="16" t="inlineStr">
        <is>
          <t>Palakkad</t>
        </is>
      </c>
      <c r="F13" s="17" t="n">
        <v>30</v>
      </c>
      <c r="G13" s="18" t="inlineStr">
        <is>
          <t>T1</t>
        </is>
      </c>
      <c r="H13" s="17" t="n">
        <v>65</v>
      </c>
      <c r="I13" s="18" t="inlineStr">
        <is>
          <t>T1</t>
        </is>
      </c>
      <c r="J13" s="14" t="n">
        <v>2003</v>
      </c>
      <c r="K13" s="16" t="inlineStr">
        <is>
          <t>Bundled programme</t>
        </is>
      </c>
      <c r="L13" s="16" t="inlineStr">
        <is>
          <t>Kairali Group</t>
        </is>
      </c>
      <c r="M13" s="19" t="inlineStr">
        <is>
          <t>30 premium villas. Vertically integrated with Kairali products business.</t>
        </is>
      </c>
    </row>
    <row r="14" ht="34" customHeight="1">
      <c r="A14" s="8" t="n">
        <v>11</v>
      </c>
      <c r="B14" s="9" t="inlineStr">
        <is>
          <t>Carnoustie Ayurveda &amp; Wellness</t>
        </is>
      </c>
      <c r="C14" s="10" t="inlineStr">
        <is>
          <t>Classical Ayurveda purist</t>
        </is>
      </c>
      <c r="D14" s="10" t="inlineStr">
        <is>
          <t>Kerala</t>
        </is>
      </c>
      <c r="E14" s="10" t="inlineStr">
        <is>
          <t>Mararikulam, Alappuzha</t>
        </is>
      </c>
      <c r="F14" s="11" t="inlineStr"/>
      <c r="G14" s="12" t="inlineStr"/>
      <c r="H14" s="11" t="inlineStr"/>
      <c r="I14" s="12" t="inlineStr"/>
      <c r="J14" s="8" t="n">
        <v>2010</v>
      </c>
      <c r="K14" s="10" t="inlineStr">
        <is>
          <t>Bundled programme</t>
        </is>
      </c>
      <c r="L14" s="10" t="inlineStr">
        <is>
          <t>Owned</t>
        </is>
      </c>
      <c r="M14" s="13" t="inlineStr">
        <is>
          <t>Backwater location, luxury-Ayurveda blend. TO VERIFY.</t>
        </is>
      </c>
    </row>
    <row r="15" ht="34" customHeight="1">
      <c r="A15" s="14" t="n">
        <v>12</v>
      </c>
      <c r="B15" s="15" t="inlineStr">
        <is>
          <t>Jindal Naturecure Institute</t>
        </is>
      </c>
      <c r="C15" s="16" t="inlineStr">
        <is>
          <t>Mass-scale naturopathy</t>
        </is>
      </c>
      <c r="D15" s="16" t="inlineStr">
        <is>
          <t>Karnataka</t>
        </is>
      </c>
      <c r="E15" s="16" t="inlineStr">
        <is>
          <t>Tumkur Road, Bengaluru</t>
        </is>
      </c>
      <c r="F15" s="17" t="n">
        <v>219</v>
      </c>
      <c r="G15" s="18" t="inlineStr">
        <is>
          <t>T2</t>
        </is>
      </c>
      <c r="H15" s="17" t="n">
        <v>130</v>
      </c>
      <c r="I15" s="18" t="inlineStr">
        <is>
          <t>T1</t>
        </is>
      </c>
      <c r="J15" s="14" t="n">
        <v>1979</v>
      </c>
      <c r="K15" s="16" t="inlineStr">
        <is>
          <t>UNBUNDLED</t>
        </is>
      </c>
      <c r="L15" s="16" t="inlineStr">
        <is>
          <t>Trust (Jindal group)</t>
        </is>
      </c>
      <c r="M15" s="19" t="inlineStr">
        <is>
          <t>KEY CONTRAST CASE. Room Rs 6,000 sgl / Rs 9,000 dbl PLUS Rs 2,000-3,000/day treatment; diet + consultation free. 107 + 112 bed blocks noted; total capacity TO VERIFY.</t>
        </is>
      </c>
    </row>
    <row r="16" ht="34" customHeight="1">
      <c r="A16" s="8" t="n">
        <v>13</v>
      </c>
      <c r="B16" s="9" t="inlineStr">
        <is>
          <t>Nimba Nature Cure</t>
        </is>
      </c>
      <c r="C16" s="10" t="inlineStr">
        <is>
          <t>Mass-scale naturopathy</t>
        </is>
      </c>
      <c r="D16" s="10" t="inlineStr">
        <is>
          <t>Gujarat</t>
        </is>
      </c>
      <c r="E16" s="10" t="inlineStr">
        <is>
          <t>Mehsana</t>
        </is>
      </c>
      <c r="F16" s="11" t="inlineStr"/>
      <c r="G16" s="12" t="inlineStr"/>
      <c r="H16" s="11" t="n">
        <v>100</v>
      </c>
      <c r="I16" s="12" t="inlineStr">
        <is>
          <t>T1</t>
        </is>
      </c>
      <c r="J16" s="8" t="n">
        <v>2016</v>
      </c>
      <c r="K16" s="10" t="inlineStr">
        <is>
          <t>Bundled programme</t>
        </is>
      </c>
      <c r="L16" s="10" t="inlineStr">
        <is>
          <t>Promoter-owned</t>
        </is>
      </c>
      <c r="M16" s="13" t="inlineStr">
        <is>
          <t>Rs 9,500-17,000/day incl. stay, diet, consult and 2 therapies. Keys TO VERIFY.</t>
        </is>
      </c>
    </row>
    <row r="17" ht="34" customHeight="1">
      <c r="A17" s="14" t="n">
        <v>14</v>
      </c>
      <c r="B17" s="15" t="inlineStr">
        <is>
          <t>Patanjali Yog Gram</t>
        </is>
      </c>
      <c r="C17" s="16" t="inlineStr">
        <is>
          <t>Mass-scale naturopathy</t>
        </is>
      </c>
      <c r="D17" s="16" t="inlineStr">
        <is>
          <t>Uttarakhand</t>
        </is>
      </c>
      <c r="E17" s="16" t="inlineStr">
        <is>
          <t>Haridwar</t>
        </is>
      </c>
      <c r="F17" s="17" t="n">
        <v>1212</v>
      </c>
      <c r="G17" s="18" t="inlineStr">
        <is>
          <t>T1</t>
        </is>
      </c>
      <c r="H17" s="17" t="inlineStr"/>
      <c r="I17" s="18" t="inlineStr"/>
      <c r="J17" s="14" t="n">
        <v>2006</v>
      </c>
      <c r="K17" s="16" t="inlineStr">
        <is>
          <t>Unbundled / variable</t>
        </is>
      </c>
      <c r="L17" s="16" t="inlineStr">
        <is>
          <t>Patanjali Yogpeeth Trust</t>
        </is>
      </c>
      <c r="M17" s="19" t="inlineStr">
        <is>
          <t>OUTLIER ON SCALE. 1,212 rooms - roughly 12x the luxury cohort. No published fixed programme price; varies by room and therapy plan.</t>
        </is>
      </c>
    </row>
    <row r="18" ht="34" customHeight="1">
      <c r="A18" s="8" t="n">
        <v>15</v>
      </c>
      <c r="B18" s="9" t="inlineStr">
        <is>
          <t>Prakriti Shakti</t>
        </is>
      </c>
      <c r="C18" s="10" t="inlineStr">
        <is>
          <t>Mass-scale naturopathy</t>
        </is>
      </c>
      <c r="D18" s="10" t="inlineStr">
        <is>
          <t>Kerala</t>
        </is>
      </c>
      <c r="E18" s="10" t="inlineStr">
        <is>
          <t>Panchalimedu, Idukki</t>
        </is>
      </c>
      <c r="F18" s="11" t="n">
        <v>19</v>
      </c>
      <c r="G18" s="12" t="inlineStr">
        <is>
          <t>T1</t>
        </is>
      </c>
      <c r="H18" s="11" t="inlineStr"/>
      <c r="I18" s="12" t="inlineStr"/>
      <c r="J18" s="8" t="n">
        <v>2018</v>
      </c>
      <c r="K18" s="10" t="inlineStr">
        <is>
          <t>Bundled programme</t>
        </is>
      </c>
      <c r="L18" s="10" t="inlineStr">
        <is>
          <t>CGH Earth</t>
        </is>
      </c>
      <c r="M18" s="13" t="inlineStr">
        <is>
          <t>19 cottages. Clinic of natural medicine positioning. Programme US$3,010-5,591.</t>
        </is>
      </c>
    </row>
    <row r="19" ht="34" customHeight="1">
      <c r="A19" s="14" t="n">
        <v>16</v>
      </c>
      <c r="B19" s="15" t="inlineStr">
        <is>
          <t>Arogyadhama (SVYASA)</t>
        </is>
      </c>
      <c r="C19" s="16" t="inlineStr">
        <is>
          <t>Mass-scale naturopathy</t>
        </is>
      </c>
      <c r="D19" s="16" t="inlineStr">
        <is>
          <t>Karnataka</t>
        </is>
      </c>
      <c r="E19" s="16" t="inlineStr">
        <is>
          <t>Jigani, Bengaluru</t>
        </is>
      </c>
      <c r="F19" s="17" t="inlineStr"/>
      <c r="G19" s="18" t="inlineStr"/>
      <c r="H19" s="17" t="inlineStr"/>
      <c r="I19" s="18" t="inlineStr"/>
      <c r="J19" s="14" t="n">
        <v>1986</v>
      </c>
      <c r="K19" s="16" t="inlineStr">
        <is>
          <t>Unbundled</t>
        </is>
      </c>
      <c r="L19" s="16" t="inlineStr">
        <is>
          <t>Trust / university</t>
        </is>
      </c>
      <c r="M19" s="19" t="inlineStr">
        <is>
          <t>Research-linked yoga therapy hospital. Low price point. TO VERIFY.</t>
        </is>
      </c>
    </row>
    <row r="20" ht="34" customHeight="1">
      <c r="A20" s="8" t="n">
        <v>17</v>
      </c>
      <c r="B20" s="9" t="inlineStr">
        <is>
          <t>Isha Rejuvenation</t>
        </is>
      </c>
      <c r="C20" s="10" t="inlineStr">
        <is>
          <t>Spiritual / yoga-led</t>
        </is>
      </c>
      <c r="D20" s="10" t="inlineStr">
        <is>
          <t>Tamil Nadu</t>
        </is>
      </c>
      <c r="E20" s="10" t="inlineStr">
        <is>
          <t>Coimbatore</t>
        </is>
      </c>
      <c r="F20" s="11" t="inlineStr"/>
      <c r="G20" s="12" t="inlineStr"/>
      <c r="H20" s="11" t="inlineStr"/>
      <c r="I20" s="12" t="inlineStr"/>
      <c r="J20" s="8" t="n">
        <v>2003</v>
      </c>
      <c r="K20" s="10" t="inlineStr">
        <is>
          <t>Bundled programme</t>
        </is>
      </c>
      <c r="L20" s="10" t="inlineStr">
        <is>
          <t>Isha Foundation (trust)</t>
        </is>
      </c>
      <c r="M20" s="13" t="inlineStr">
        <is>
          <t>Nadi Cottages / Nalanda accommodation. Non-profit structure - comparability caveat on margin analysis.</t>
        </is>
      </c>
    </row>
    <row r="21" ht="34" customHeight="1">
      <c r="A21" s="14" t="n">
        <v>18</v>
      </c>
      <c r="B21" s="15" t="inlineStr">
        <is>
          <t>AyurvedaGram Heritage</t>
        </is>
      </c>
      <c r="C21" s="16" t="inlineStr">
        <is>
          <t>Spiritual / yoga-led</t>
        </is>
      </c>
      <c r="D21" s="16" t="inlineStr">
        <is>
          <t>Karnataka</t>
        </is>
      </c>
      <c r="E21" s="16" t="inlineStr">
        <is>
          <t>Whitefield, Bengaluru</t>
        </is>
      </c>
      <c r="F21" s="17" t="n">
        <v>28</v>
      </c>
      <c r="G21" s="18" t="inlineStr">
        <is>
          <t>T1</t>
        </is>
      </c>
      <c r="H21" s="17" t="n">
        <v>7</v>
      </c>
      <c r="I21" s="18" t="inlineStr">
        <is>
          <t>T1</t>
        </is>
      </c>
      <c r="J21" s="14" t="n">
        <v>2003</v>
      </c>
      <c r="K21" s="16" t="inlineStr">
        <is>
          <t>Bundled programme</t>
        </is>
      </c>
      <c r="L21" s="16" t="inlineStr">
        <is>
          <t>Promoter-owned</t>
        </is>
      </c>
      <c r="M21" s="19" t="inlineStr">
        <is>
          <t>Highest key density per acre in panel - urban-edge land economics.</t>
        </is>
      </c>
    </row>
    <row r="22" ht="34" customHeight="1">
      <c r="A22" s="8" t="n">
        <v>19</v>
      </c>
      <c r="B22" s="9" t="inlineStr">
        <is>
          <t>Kaivalyadhama</t>
        </is>
      </c>
      <c r="C22" s="10" t="inlineStr">
        <is>
          <t>Spiritual / yoga-led</t>
        </is>
      </c>
      <c r="D22" s="10" t="inlineStr">
        <is>
          <t>Maharashtra</t>
        </is>
      </c>
      <c r="E22" s="10" t="inlineStr">
        <is>
          <t>Lonavala</t>
        </is>
      </c>
      <c r="F22" s="11" t="inlineStr"/>
      <c r="G22" s="12" t="inlineStr"/>
      <c r="H22" s="11" t="inlineStr"/>
      <c r="I22" s="12" t="inlineStr"/>
      <c r="J22" s="8" t="n">
        <v>1924</v>
      </c>
      <c r="K22" s="10" t="inlineStr">
        <is>
          <t>Unbundled</t>
        </is>
      </c>
      <c r="L22" s="10" t="inlineStr">
        <is>
          <t>Trust</t>
        </is>
      </c>
      <c r="M22" s="13" t="inlineStr">
        <is>
          <t>Oldest institution in panel (1924). Yoga research + therapy. TO VERIFY.</t>
        </is>
      </c>
    </row>
    <row r="23" ht="34" customHeight="1">
      <c r="A23" s="14" t="n">
        <v>20</v>
      </c>
      <c r="B23" s="15" t="inlineStr">
        <is>
          <t>Niraamaya Surya Samudra</t>
        </is>
      </c>
      <c r="C23" s="16" t="inlineStr">
        <is>
          <t>Resort-wellness hybrid</t>
        </is>
      </c>
      <c r="D23" s="16" t="inlineStr">
        <is>
          <t>Kerala</t>
        </is>
      </c>
      <c r="E23" s="16" t="inlineStr">
        <is>
          <t>Kovalam</t>
        </is>
      </c>
      <c r="F23" s="17" t="n">
        <v>27</v>
      </c>
      <c r="G23" s="18" t="inlineStr">
        <is>
          <t>T1</t>
        </is>
      </c>
      <c r="H23" s="17" t="inlineStr"/>
      <c r="I23" s="18" t="inlineStr"/>
      <c r="J23" s="14" t="n">
        <v>2011</v>
      </c>
      <c r="K23" s="16" t="inlineStr">
        <is>
          <t>Room-led + spa</t>
        </is>
      </c>
      <c r="L23" s="16" t="inlineStr">
        <is>
          <t>Niraamaya Retreats</t>
        </is>
      </c>
      <c r="M23" s="19" t="inlineStr">
        <is>
          <t>27-key cliff-top resort. Multi-property brand - portfolio play.</t>
        </is>
      </c>
    </row>
    <row r="24" ht="34" customHeight="1">
      <c r="A24" s="8" t="n">
        <v>21</v>
      </c>
      <c r="B24" s="9" t="inlineStr">
        <is>
          <t>Six Senses Fort Barwara</t>
        </is>
      </c>
      <c r="C24" s="10" t="inlineStr">
        <is>
          <t>Resort-wellness hybrid</t>
        </is>
      </c>
      <c r="D24" s="10" t="inlineStr">
        <is>
          <t>Rajasthan</t>
        </is>
      </c>
      <c r="E24" s="10" t="inlineStr">
        <is>
          <t>Sawai Madhopur</t>
        </is>
      </c>
      <c r="F24" s="11" t="inlineStr"/>
      <c r="G24" s="12" t="inlineStr"/>
      <c r="H24" s="11" t="inlineStr"/>
      <c r="I24" s="12" t="inlineStr"/>
      <c r="J24" s="8" t="n">
        <v>2021</v>
      </c>
      <c r="K24" s="10" t="inlineStr">
        <is>
          <t>Room-led + spa</t>
        </is>
      </c>
      <c r="L24" s="10" t="inlineStr">
        <is>
          <t>Owned; Six Senses managed</t>
        </is>
      </c>
      <c r="M24" s="13" t="inlineStr">
        <is>
          <t>Restored 14th-century fort. Managed-contract model. Keys TO VERIFY.</t>
        </is>
      </c>
    </row>
    <row r="25" ht="34" customHeight="1">
      <c r="A25" s="14" t="n">
        <v>22</v>
      </c>
      <c r="B25" s="15" t="inlineStr">
        <is>
          <t>SwaSwara</t>
        </is>
      </c>
      <c r="C25" s="16" t="inlineStr">
        <is>
          <t>Resort-wellness hybrid</t>
        </is>
      </c>
      <c r="D25" s="16" t="inlineStr">
        <is>
          <t>Karnataka</t>
        </is>
      </c>
      <c r="E25" s="16" t="inlineStr">
        <is>
          <t>Om Beach, Gokarna</t>
        </is>
      </c>
      <c r="F25" s="17" t="inlineStr"/>
      <c r="G25" s="18" t="inlineStr"/>
      <c r="H25" s="17" t="inlineStr"/>
      <c r="I25" s="18" t="inlineStr"/>
      <c r="J25" s="14" t="n">
        <v>2007</v>
      </c>
      <c r="K25" s="16" t="inlineStr">
        <is>
          <t>Bundled programme</t>
        </is>
      </c>
      <c r="L25" s="16" t="inlineStr">
        <is>
          <t>CGH Earth</t>
        </is>
      </c>
      <c r="M25" s="19" t="inlineStr">
        <is>
          <t>Yoga + art therapy + food philosophy. TO VERIFY.</t>
        </is>
      </c>
    </row>
    <row r="26" ht="34" customHeight="1">
      <c r="A26" s="8" t="n">
        <v>23</v>
      </c>
      <c r="B26" s="9" t="inlineStr">
        <is>
          <t>Shreyas Retreat</t>
        </is>
      </c>
      <c r="C26" s="10" t="inlineStr">
        <is>
          <t>Resort-wellness hybrid</t>
        </is>
      </c>
      <c r="D26" s="10" t="inlineStr">
        <is>
          <t>Karnataka</t>
        </is>
      </c>
      <c r="E26" s="10" t="inlineStr">
        <is>
          <t>Nelamangala, Bengaluru</t>
        </is>
      </c>
      <c r="F26" s="11" t="inlineStr"/>
      <c r="G26" s="12" t="inlineStr"/>
      <c r="H26" s="11" t="inlineStr"/>
      <c r="I26" s="12" t="inlineStr"/>
      <c r="J26" s="8" t="n">
        <v>2003</v>
      </c>
      <c r="K26" s="10" t="inlineStr">
        <is>
          <t>Bundled programme</t>
        </is>
      </c>
      <c r="L26" s="10" t="inlineStr">
        <is>
          <t>Promoter-owned</t>
        </is>
      </c>
      <c r="M26" s="13" t="inlineStr">
        <is>
          <t>Luxury yoga retreat, ashram practices + modern comfort. TO VERIFY.</t>
        </is>
      </c>
    </row>
    <row r="27" ht="34" customHeight="1">
      <c r="A27" s="14" t="n">
        <v>24</v>
      </c>
      <c r="B27" s="15" t="inlineStr">
        <is>
          <t>Naad Wellness</t>
        </is>
      </c>
      <c r="C27" s="16" t="inlineStr">
        <is>
          <t>Urban / new-format</t>
        </is>
      </c>
      <c r="D27" s="16" t="inlineStr">
        <is>
          <t>Haryana</t>
        </is>
      </c>
      <c r="E27" s="16" t="inlineStr">
        <is>
          <t>Sonipat (NCR)</t>
        </is>
      </c>
      <c r="F27" s="17" t="inlineStr"/>
      <c r="G27" s="18" t="inlineStr"/>
      <c r="H27" s="17" t="inlineStr"/>
      <c r="I27" s="18" t="inlineStr"/>
      <c r="J27" s="14" t="n">
        <v>2019</v>
      </c>
      <c r="K27" s="16" t="inlineStr">
        <is>
          <t>Bundled programme</t>
        </is>
      </c>
      <c r="L27" s="16" t="inlineStr">
        <is>
          <t>Promoter-owned</t>
        </is>
      </c>
      <c r="M27" s="19" t="inlineStr">
        <is>
          <t>Closest to urban short-stay format; NCR catchment. TO VERIFY.</t>
        </is>
      </c>
    </row>
    <row r="29">
      <c r="B29" s="20" t="inlineStr">
        <is>
          <t>Blank cell = not verified in this pass, NOT zero. See Read Me.</t>
        </is>
      </c>
    </row>
  </sheetData>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16"/>
  <sheetViews>
    <sheetView workbookViewId="0">
      <selection activeCell="A1" sqref="A1"/>
    </sheetView>
  </sheetViews>
  <sheetFormatPr baseColWidth="8" defaultRowHeight="15"/>
  <cols>
    <col width="4" customWidth="1" min="1" max="1"/>
    <col width="30" customWidth="1" min="2" max="2"/>
    <col width="16" customWidth="1" min="3" max="3"/>
    <col width="60" customWidth="1" min="4" max="4"/>
  </cols>
  <sheetData>
    <row r="2">
      <c r="B2" s="6" t="inlineStr">
        <is>
          <t>OCCUPANCY ASSUMPTIONS BY ARCHETYPE</t>
        </is>
      </c>
    </row>
    <row r="3">
      <c r="B3" s="21" t="inlineStr">
        <is>
          <t>Tier T4 — analyst judgement. These are the single largest driver of every revenue estimate in this workbook. Override them as better data arrives.</t>
        </is>
      </c>
    </row>
    <row r="5" ht="24" customHeight="1">
      <c r="A5" s="7" t="inlineStr"/>
      <c r="B5" s="7" t="inlineStr">
        <is>
          <t>Archetype</t>
        </is>
      </c>
      <c r="C5" s="7" t="inlineStr">
        <is>
          <t>Annual occupancy</t>
        </is>
      </c>
      <c r="D5" s="7" t="inlineStr">
        <is>
          <t>Rationale</t>
        </is>
      </c>
    </row>
    <row r="6">
      <c r="B6" s="22" t="inlineStr">
        <is>
          <t>Luxury medical wellness</t>
        </is>
      </c>
      <c r="C6" s="23" t="n">
        <v>0.65</v>
      </c>
      <c r="D6" s="24" t="inlineStr">
        <is>
          <t>Programme-driven, long lead times, high rate</t>
        </is>
      </c>
    </row>
    <row r="7">
      <c r="B7" s="22" t="inlineStr">
        <is>
          <t>Classical Ayurveda purist</t>
        </is>
      </c>
      <c r="C7" s="23" t="n">
        <v>0.55</v>
      </c>
      <c r="D7" s="24" t="inlineStr">
        <is>
          <t>Long stays but narrow season and narrow audience</t>
        </is>
      </c>
    </row>
    <row r="8">
      <c r="B8" s="22" t="inlineStr">
        <is>
          <t>Mass-scale naturopathy</t>
        </is>
      </c>
      <c r="C8" s="23" t="n">
        <v>0.7</v>
      </c>
      <c r="D8" s="24" t="inlineStr">
        <is>
          <t>Price-accessible, domestic, year-round demand</t>
        </is>
      </c>
    </row>
    <row r="9">
      <c r="B9" s="22" t="inlineStr">
        <is>
          <t>Spiritual / yoga-led</t>
        </is>
      </c>
      <c r="C9" s="23" t="n">
        <v>0.6</v>
      </c>
      <c r="D9" s="24" t="inlineStr">
        <is>
          <t>Community//trust-driven demand, low marketing cost</t>
        </is>
      </c>
    </row>
    <row r="10">
      <c r="B10" s="22" t="inlineStr">
        <is>
          <t>Resort-wellness hybrid</t>
        </is>
      </c>
      <c r="C10" s="23" t="n">
        <v>0.58</v>
      </c>
      <c r="D10" s="24" t="inlineStr">
        <is>
          <t>Leisure seasonality dominates</t>
        </is>
      </c>
    </row>
    <row r="11">
      <c r="B11" s="22" t="inlineStr">
        <is>
          <t>Urban / new-format</t>
        </is>
      </c>
      <c r="C11" s="23" t="n">
        <v>0.55</v>
      </c>
      <c r="D11" s="24" t="inlineStr">
        <is>
          <t>Short stays, higher churn, unproven format</t>
        </is>
      </c>
    </row>
    <row r="13">
      <c r="B13" s="25" t="inlineStr">
        <is>
          <t>SEASONALITY WARNING</t>
        </is>
      </c>
    </row>
    <row r="14">
      <c r="B14" s="4" t="inlineStr">
        <is>
          <t>Kerala's Ayurveda peak is the MONSOON (Karkidaka), exactly when conventional Kerala tourism troughs. Himalayan properties peak in summer/autumn. Applying a standard hotel seasonality curve to this sector produces wrong answers — regional curves must be modelled separately.</t>
        </is>
      </c>
    </row>
    <row r="15"/>
    <row r="16"/>
  </sheetData>
  <mergeCells count="1">
    <mergeCell ref="B14:D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24" customWidth="1" min="3" max="3"/>
    <col width="8" customWidth="1" min="4" max="4"/>
    <col width="11" customWidth="1" min="5" max="5"/>
    <col width="12" customWidth="1" min="6" max="6"/>
    <col width="14" customWidth="1" min="7" max="7"/>
    <col width="14" customWidth="1" min="8" max="8"/>
    <col width="16" customWidth="1" min="9" max="9"/>
    <col width="14" customWidth="1" min="10" max="10"/>
    <col width="11" customWidth="1" min="11" max="11"/>
    <col width="15" customWidth="1" min="12" max="12"/>
    <col width="11" customWidth="1" min="13" max="13"/>
    <col width="15" customWidth="1" min="14" max="14"/>
  </cols>
  <sheetData>
    <row r="1">
      <c r="A1" s="6" t="inlineStr">
        <is>
          <t>REVENUE MODEL</t>
        </is>
      </c>
    </row>
    <row r="2">
      <c r="A2" s="20" t="inlineStr">
        <is>
          <t>Modelled revenue = Keys × 365 × Occupancy × TROR.  Tier T3.  TROR = Total Revenue per Occupied Room-Night — the normalised unit that makes bundled-programme and unbundled properties comparable.</t>
        </is>
      </c>
    </row>
    <row r="4" ht="42" customHeight="1">
      <c r="A4" s="7" t="inlineStr">
        <is>
          <t>#</t>
        </is>
      </c>
      <c r="B4" s="7" t="inlineStr">
        <is>
          <t>Property</t>
        </is>
      </c>
      <c r="C4" s="7" t="inlineStr">
        <is>
          <t>Archetype</t>
        </is>
      </c>
      <c r="D4" s="7" t="inlineStr">
        <is>
          <t>Keys</t>
        </is>
      </c>
      <c r="E4" s="7" t="inlineStr">
        <is>
          <t>Occupancy</t>
        </is>
      </c>
      <c r="F4" s="7" t="inlineStr">
        <is>
          <t>TROR (Rs)</t>
        </is>
      </c>
      <c r="G4" s="7" t="inlineStr">
        <is>
          <t>Available room-nights</t>
        </is>
      </c>
      <c r="H4" s="7" t="inlineStr">
        <is>
          <t>Occupied room-nights</t>
        </is>
      </c>
      <c r="I4" s="7" t="inlineStr">
        <is>
          <t>Modelled revenue (Rs cr)</t>
        </is>
      </c>
      <c r="J4" s="7" t="inlineStr">
        <is>
          <t>Filed revenue (Rs cr)</t>
        </is>
      </c>
      <c r="K4" s="7" t="inlineStr">
        <is>
          <t>Variance</t>
        </is>
      </c>
      <c r="L4" s="7" t="inlineStr">
        <is>
          <t>Revenue per key (Rs lakh)</t>
        </is>
      </c>
      <c r="M4" s="7" t="inlineStr">
        <is>
          <t>Land (acres)</t>
        </is>
      </c>
      <c r="N4" s="7" t="inlineStr">
        <is>
          <t>Revenue per acre (Rs cr)</t>
        </is>
      </c>
    </row>
    <row r="5">
      <c r="A5" s="26" t="n">
        <v>1</v>
      </c>
      <c r="B5" s="22" t="inlineStr">
        <is>
          <t>Ananda in the Himalayas</t>
        </is>
      </c>
      <c r="C5" s="26" t="inlineStr">
        <is>
          <t>Luxury medical wellness</t>
        </is>
      </c>
      <c r="D5" s="27">
        <f>'Master Panel'!F4</f>
        <v/>
      </c>
      <c r="E5" s="28">
        <f>IFERROR(INDEX(Assumptions!$C$6:$C$11,MATCH(C5,Assumptions!$B$6:$B$11,0)),"")</f>
        <v/>
      </c>
      <c r="F5" s="29" t="n">
        <v>55000</v>
      </c>
      <c r="G5" s="30">
        <f>IF(D5="","",D5*365)</f>
        <v/>
      </c>
      <c r="H5" s="30">
        <f>IF(G5="","",G5*E5)</f>
        <v/>
      </c>
      <c r="I5" s="31">
        <f>IF(OR(H5="",F5=""),"",H5*F5/10000000)</f>
        <v/>
      </c>
      <c r="J5" s="32" t="inlineStr"/>
      <c r="K5" s="28">
        <f>IF(OR(J5="",I5=""),"",I5/J5-1)</f>
        <v/>
      </c>
      <c r="L5" s="31">
        <f>IF(OR(I5="",D5="",D5=0),"",I5*100/D5)</f>
        <v/>
      </c>
      <c r="M5" s="27">
        <f>'Master Panel'!H4</f>
        <v/>
      </c>
      <c r="N5" s="33">
        <f>IF(OR(I5="",M5="",M5=0),"",I5/M5)</f>
        <v/>
      </c>
    </row>
    <row r="6">
      <c r="A6" s="34" t="n">
        <v>2</v>
      </c>
      <c r="B6" s="35" t="inlineStr">
        <is>
          <t>Six Senses Vana</t>
        </is>
      </c>
      <c r="C6" s="34" t="inlineStr">
        <is>
          <t>Luxury medical wellness</t>
        </is>
      </c>
      <c r="D6" s="36">
        <f>'Master Panel'!F5</f>
        <v/>
      </c>
      <c r="E6" s="37">
        <f>IFERROR(INDEX(Assumptions!$C$6:$C$11,MATCH(C6,Assumptions!$B$6:$B$11,0)),"")</f>
        <v/>
      </c>
      <c r="F6" s="29" t="n">
        <v>48000</v>
      </c>
      <c r="G6" s="38">
        <f>IF(D6="","",D6*365)</f>
        <v/>
      </c>
      <c r="H6" s="38">
        <f>IF(G6="","",G6*E6)</f>
        <v/>
      </c>
      <c r="I6" s="39">
        <f>IF(OR(H6="",F6=""),"",H6*F6/10000000)</f>
        <v/>
      </c>
      <c r="J6" s="40" t="inlineStr"/>
      <c r="K6" s="37">
        <f>IF(OR(J6="",I6=""),"",I6/J6-1)</f>
        <v/>
      </c>
      <c r="L6" s="39">
        <f>IF(OR(I6="",D6="",D6=0),"",I6*100/D6)</f>
        <v/>
      </c>
      <c r="M6" s="36">
        <f>'Master Panel'!H5</f>
        <v/>
      </c>
      <c r="N6" s="41">
        <f>IF(OR(I6="",M6="",M6=0),"",I6/M6)</f>
        <v/>
      </c>
    </row>
    <row r="7">
      <c r="A7" s="26" t="n">
        <v>3</v>
      </c>
      <c r="B7" s="22" t="inlineStr">
        <is>
          <t>Atmantan Wellness Centre</t>
        </is>
      </c>
      <c r="C7" s="26" t="inlineStr">
        <is>
          <t>Luxury medical wellness</t>
        </is>
      </c>
      <c r="D7" s="27">
        <f>'Master Panel'!F6</f>
        <v/>
      </c>
      <c r="E7" s="28">
        <f>IFERROR(INDEX(Assumptions!$C$6:$C$11,MATCH(C7,Assumptions!$B$6:$B$11,0)),"")</f>
        <v/>
      </c>
      <c r="F7" s="29" t="n">
        <v>33300</v>
      </c>
      <c r="G7" s="30">
        <f>IF(D7="","",D7*365)</f>
        <v/>
      </c>
      <c r="H7" s="30">
        <f>IF(G7="","",G7*E7)</f>
        <v/>
      </c>
      <c r="I7" s="31">
        <f>IF(OR(H7="",F7=""),"",H7*F7/10000000)</f>
        <v/>
      </c>
      <c r="J7" s="32" t="n">
        <v>76.7</v>
      </c>
      <c r="K7" s="28">
        <f>IF(OR(J7="",I7=""),"",I7/J7-1)</f>
        <v/>
      </c>
      <c r="L7" s="31">
        <f>IF(OR(I7="",D7="",D7=0),"",I7*100/D7)</f>
        <v/>
      </c>
      <c r="M7" s="27">
        <f>'Master Panel'!H6</f>
        <v/>
      </c>
      <c r="N7" s="33">
        <f>IF(OR(I7="",M7="",M7=0),"",I7/M7)</f>
        <v/>
      </c>
    </row>
    <row r="8">
      <c r="A8" s="34" t="n">
        <v>4</v>
      </c>
      <c r="B8" s="35" t="inlineStr">
        <is>
          <t>SOUKYA International</t>
        </is>
      </c>
      <c r="C8" s="34" t="inlineStr">
        <is>
          <t>Luxury medical wellness</t>
        </is>
      </c>
      <c r="D8" s="36">
        <f>'Master Panel'!F7</f>
        <v/>
      </c>
      <c r="E8" s="37">
        <f>IFERROR(INDEX(Assumptions!$C$6:$C$11,MATCH(C8,Assumptions!$B$6:$B$11,0)),"")</f>
        <v/>
      </c>
      <c r="F8" s="29" t="n">
        <v>32000</v>
      </c>
      <c r="G8" s="38">
        <f>IF(D8="","",D8*365)</f>
        <v/>
      </c>
      <c r="H8" s="38">
        <f>IF(G8="","",G8*E8)</f>
        <v/>
      </c>
      <c r="I8" s="39">
        <f>IF(OR(H8="",F8=""),"",H8*F8/10000000)</f>
        <v/>
      </c>
      <c r="J8" s="40" t="inlineStr"/>
      <c r="K8" s="37">
        <f>IF(OR(J8="",I8=""),"",I8/J8-1)</f>
        <v/>
      </c>
      <c r="L8" s="39">
        <f>IF(OR(I8="",D8="",D8=0),"",I8*100/D8)</f>
        <v/>
      </c>
      <c r="M8" s="36">
        <f>'Master Panel'!H7</f>
        <v/>
      </c>
      <c r="N8" s="41">
        <f>IF(OR(I8="",M8="",M8=0),"",I8/M8)</f>
        <v/>
      </c>
    </row>
    <row r="9">
      <c r="A9" s="26" t="n">
        <v>5</v>
      </c>
      <c r="B9" s="22" t="inlineStr">
        <is>
          <t>Dharana at Shillim</t>
        </is>
      </c>
      <c r="C9" s="26" t="inlineStr">
        <is>
          <t>Luxury medical wellness</t>
        </is>
      </c>
      <c r="D9" s="27">
        <f>'Master Panel'!F8</f>
        <v/>
      </c>
      <c r="E9" s="28">
        <f>IFERROR(INDEX(Assumptions!$C$6:$C$11,MATCH(C9,Assumptions!$B$6:$B$11,0)),"")</f>
        <v/>
      </c>
      <c r="F9" s="29" t="n">
        <v>38000</v>
      </c>
      <c r="G9" s="30">
        <f>IF(D9="","",D9*365)</f>
        <v/>
      </c>
      <c r="H9" s="30">
        <f>IF(G9="","",G9*E9)</f>
        <v/>
      </c>
      <c r="I9" s="31">
        <f>IF(OR(H9="",F9=""),"",H9*F9/10000000)</f>
        <v/>
      </c>
      <c r="J9" s="32" t="inlineStr"/>
      <c r="K9" s="28">
        <f>IF(OR(J9="",I9=""),"",I9/J9-1)</f>
        <v/>
      </c>
      <c r="L9" s="31">
        <f>IF(OR(I9="",D9="",D9=0),"",I9*100/D9)</f>
        <v/>
      </c>
      <c r="M9" s="27">
        <f>'Master Panel'!H8</f>
        <v/>
      </c>
      <c r="N9" s="33">
        <f>IF(OR(I9="",M9="",M9=0),"",I9/M9)</f>
        <v/>
      </c>
    </row>
    <row r="10">
      <c r="A10" s="34" t="n">
        <v>6</v>
      </c>
      <c r="B10" s="35" t="inlineStr">
        <is>
          <t>Kalari Kovilakom</t>
        </is>
      </c>
      <c r="C10" s="34" t="inlineStr">
        <is>
          <t>Classical Ayurveda purist</t>
        </is>
      </c>
      <c r="D10" s="36">
        <f>'Master Panel'!F9</f>
        <v/>
      </c>
      <c r="E10" s="37">
        <f>IFERROR(INDEX(Assumptions!$C$6:$C$11,MATCH(C10,Assumptions!$B$6:$B$11,0)),"")</f>
        <v/>
      </c>
      <c r="F10" s="29" t="n">
        <v>42000</v>
      </c>
      <c r="G10" s="38">
        <f>IF(D10="","",D10*365)</f>
        <v/>
      </c>
      <c r="H10" s="38">
        <f>IF(G10="","",G10*E10)</f>
        <v/>
      </c>
      <c r="I10" s="39">
        <f>IF(OR(H10="",F10=""),"",H10*F10/10000000)</f>
        <v/>
      </c>
      <c r="J10" s="40" t="inlineStr"/>
      <c r="K10" s="37">
        <f>IF(OR(J10="",I10=""),"",I10/J10-1)</f>
        <v/>
      </c>
      <c r="L10" s="39">
        <f>IF(OR(I10="",D10="",D10=0),"",I10*100/D10)</f>
        <v/>
      </c>
      <c r="M10" s="36">
        <f>'Master Panel'!H9</f>
        <v/>
      </c>
      <c r="N10" s="41">
        <f>IF(OR(I10="",M10="",M10=0),"",I10/M10)</f>
        <v/>
      </c>
    </row>
    <row r="11">
      <c r="A11" s="26" t="n">
        <v>7</v>
      </c>
      <c r="B11" s="22" t="inlineStr">
        <is>
          <t>Vaidyagrama</t>
        </is>
      </c>
      <c r="C11" s="26" t="inlineStr">
        <is>
          <t>Classical Ayurveda purist</t>
        </is>
      </c>
      <c r="D11" s="27">
        <f>'Master Panel'!F10</f>
        <v/>
      </c>
      <c r="E11" s="28">
        <f>IFERROR(INDEX(Assumptions!$C$6:$C$11,MATCH(C11,Assumptions!$B$6:$B$11,0)),"")</f>
        <v/>
      </c>
      <c r="F11" s="29" t="n">
        <v>12000</v>
      </c>
      <c r="G11" s="30">
        <f>IF(D11="","",D11*365)</f>
        <v/>
      </c>
      <c r="H11" s="30">
        <f>IF(G11="","",G11*E11)</f>
        <v/>
      </c>
      <c r="I11" s="31">
        <f>IF(OR(H11="",F11=""),"",H11*F11/10000000)</f>
        <v/>
      </c>
      <c r="J11" s="32" t="inlineStr"/>
      <c r="K11" s="28">
        <f>IF(OR(J11="",I11=""),"",I11/J11-1)</f>
        <v/>
      </c>
      <c r="L11" s="31">
        <f>IF(OR(I11="",D11="",D11=0),"",I11*100/D11)</f>
        <v/>
      </c>
      <c r="M11" s="27">
        <f>'Master Panel'!H10</f>
        <v/>
      </c>
      <c r="N11" s="33">
        <f>IF(OR(I11="",M11="",M11=0),"",I11/M11)</f>
        <v/>
      </c>
    </row>
    <row r="12">
      <c r="A12" s="34" t="n">
        <v>8</v>
      </c>
      <c r="B12" s="35" t="inlineStr">
        <is>
          <t>Amal Tamara</t>
        </is>
      </c>
      <c r="C12" s="34" t="inlineStr">
        <is>
          <t>Classical Ayurveda purist</t>
        </is>
      </c>
      <c r="D12" s="36">
        <f>'Master Panel'!F11</f>
        <v/>
      </c>
      <c r="E12" s="37">
        <f>IFERROR(INDEX(Assumptions!$C$6:$C$11,MATCH(C12,Assumptions!$B$6:$B$11,0)),"")</f>
        <v/>
      </c>
      <c r="F12" s="29" t="n">
        <v>22000</v>
      </c>
      <c r="G12" s="38">
        <f>IF(D12="","",D12*365)</f>
        <v/>
      </c>
      <c r="H12" s="38">
        <f>IF(G12="","",G12*E12)</f>
        <v/>
      </c>
      <c r="I12" s="39">
        <f>IF(OR(H12="",F12=""),"",H12*F12/10000000)</f>
        <v/>
      </c>
      <c r="J12" s="40" t="inlineStr"/>
      <c r="K12" s="37">
        <f>IF(OR(J12="",I12=""),"",I12/J12-1)</f>
        <v/>
      </c>
      <c r="L12" s="39">
        <f>IF(OR(I12="",D12="",D12=0),"",I12*100/D12)</f>
        <v/>
      </c>
      <c r="M12" s="36">
        <f>'Master Panel'!H11</f>
        <v/>
      </c>
      <c r="N12" s="41">
        <f>IF(OR(I12="",M12="",M12=0),"",I12/M12)</f>
        <v/>
      </c>
    </row>
    <row r="13">
      <c r="A13" s="26" t="n">
        <v>9</v>
      </c>
      <c r="B13" s="22" t="inlineStr">
        <is>
          <t>Somatheeram Ayurveda Village</t>
        </is>
      </c>
      <c r="C13" s="26" t="inlineStr">
        <is>
          <t>Classical Ayurveda purist</t>
        </is>
      </c>
      <c r="D13" s="27">
        <f>'Master Panel'!F12</f>
        <v/>
      </c>
      <c r="E13" s="28">
        <f>IFERROR(INDEX(Assumptions!$C$6:$C$11,MATCH(C13,Assumptions!$B$6:$B$11,0)),"")</f>
        <v/>
      </c>
      <c r="F13" s="29" t="n">
        <v>14000</v>
      </c>
      <c r="G13" s="30">
        <f>IF(D13="","",D13*365)</f>
        <v/>
      </c>
      <c r="H13" s="30">
        <f>IF(G13="","",G13*E13)</f>
        <v/>
      </c>
      <c r="I13" s="31">
        <f>IF(OR(H13="",F13=""),"",H13*F13/10000000)</f>
        <v/>
      </c>
      <c r="J13" s="32" t="inlineStr"/>
      <c r="K13" s="28">
        <f>IF(OR(J13="",I13=""),"",I13/J13-1)</f>
        <v/>
      </c>
      <c r="L13" s="31">
        <f>IF(OR(I13="",D13="",D13=0),"",I13*100/D13)</f>
        <v/>
      </c>
      <c r="M13" s="27">
        <f>'Master Panel'!H12</f>
        <v/>
      </c>
      <c r="N13" s="33">
        <f>IF(OR(I13="",M13="",M13=0),"",I13/M13)</f>
        <v/>
      </c>
    </row>
    <row r="14">
      <c r="A14" s="34" t="n">
        <v>10</v>
      </c>
      <c r="B14" s="35" t="inlineStr">
        <is>
          <t>Kairali Ayurvedic Healing Village</t>
        </is>
      </c>
      <c r="C14" s="34" t="inlineStr">
        <is>
          <t>Classical Ayurveda purist</t>
        </is>
      </c>
      <c r="D14" s="36">
        <f>'Master Panel'!F13</f>
        <v/>
      </c>
      <c r="E14" s="37">
        <f>IFERROR(INDEX(Assumptions!$C$6:$C$11,MATCH(C14,Assumptions!$B$6:$B$11,0)),"")</f>
        <v/>
      </c>
      <c r="F14" s="29" t="n">
        <v>20000</v>
      </c>
      <c r="G14" s="38">
        <f>IF(D14="","",D14*365)</f>
        <v/>
      </c>
      <c r="H14" s="38">
        <f>IF(G14="","",G14*E14)</f>
        <v/>
      </c>
      <c r="I14" s="39">
        <f>IF(OR(H14="",F14=""),"",H14*F14/10000000)</f>
        <v/>
      </c>
      <c r="J14" s="40" t="inlineStr"/>
      <c r="K14" s="37">
        <f>IF(OR(J14="",I14=""),"",I14/J14-1)</f>
        <v/>
      </c>
      <c r="L14" s="39">
        <f>IF(OR(I14="",D14="",D14=0),"",I14*100/D14)</f>
        <v/>
      </c>
      <c r="M14" s="36">
        <f>'Master Panel'!H13</f>
        <v/>
      </c>
      <c r="N14" s="41">
        <f>IF(OR(I14="",M14="",M14=0),"",I14/M14)</f>
        <v/>
      </c>
    </row>
    <row r="15">
      <c r="A15" s="26" t="n">
        <v>11</v>
      </c>
      <c r="B15" s="22" t="inlineStr">
        <is>
          <t>Carnoustie Ayurveda &amp; Wellness</t>
        </is>
      </c>
      <c r="C15" s="26" t="inlineStr">
        <is>
          <t>Classical Ayurveda purist</t>
        </is>
      </c>
      <c r="D15" s="27">
        <f>'Master Panel'!F14</f>
        <v/>
      </c>
      <c r="E15" s="28">
        <f>IFERROR(INDEX(Assumptions!$C$6:$C$11,MATCH(C15,Assumptions!$B$6:$B$11,0)),"")</f>
        <v/>
      </c>
      <c r="F15" s="29" t="n">
        <v>18000</v>
      </c>
      <c r="G15" s="30">
        <f>IF(D15="","",D15*365)</f>
        <v/>
      </c>
      <c r="H15" s="30">
        <f>IF(G15="","",G15*E15)</f>
        <v/>
      </c>
      <c r="I15" s="31">
        <f>IF(OR(H15="",F15=""),"",H15*F15/10000000)</f>
        <v/>
      </c>
      <c r="J15" s="32" t="inlineStr"/>
      <c r="K15" s="28">
        <f>IF(OR(J15="",I15=""),"",I15/J15-1)</f>
        <v/>
      </c>
      <c r="L15" s="31">
        <f>IF(OR(I15="",D15="",D15=0),"",I15*100/D15)</f>
        <v/>
      </c>
      <c r="M15" s="27">
        <f>'Master Panel'!H14</f>
        <v/>
      </c>
      <c r="N15" s="33">
        <f>IF(OR(I15="",M15="",M15=0),"",I15/M15)</f>
        <v/>
      </c>
    </row>
    <row r="16">
      <c r="A16" s="34" t="n">
        <v>12</v>
      </c>
      <c r="B16" s="35" t="inlineStr">
        <is>
          <t>Jindal Naturecure Institute</t>
        </is>
      </c>
      <c r="C16" s="34" t="inlineStr">
        <is>
          <t>Mass-scale naturopathy</t>
        </is>
      </c>
      <c r="D16" s="36">
        <f>'Master Panel'!F15</f>
        <v/>
      </c>
      <c r="E16" s="37">
        <f>IFERROR(INDEX(Assumptions!$C$6:$C$11,MATCH(C16,Assumptions!$B$6:$B$11,0)),"")</f>
        <v/>
      </c>
      <c r="F16" s="29" t="n">
        <v>9000</v>
      </c>
      <c r="G16" s="38">
        <f>IF(D16="","",D16*365)</f>
        <v/>
      </c>
      <c r="H16" s="38">
        <f>IF(G16="","",G16*E16)</f>
        <v/>
      </c>
      <c r="I16" s="39">
        <f>IF(OR(H16="",F16=""),"",H16*F16/10000000)</f>
        <v/>
      </c>
      <c r="J16" s="40" t="inlineStr"/>
      <c r="K16" s="37">
        <f>IF(OR(J16="",I16=""),"",I16/J16-1)</f>
        <v/>
      </c>
      <c r="L16" s="39">
        <f>IF(OR(I16="",D16="",D16=0),"",I16*100/D16)</f>
        <v/>
      </c>
      <c r="M16" s="36">
        <f>'Master Panel'!H15</f>
        <v/>
      </c>
      <c r="N16" s="41">
        <f>IF(OR(I16="",M16="",M16=0),"",I16/M16)</f>
        <v/>
      </c>
    </row>
    <row r="17">
      <c r="A17" s="26" t="n">
        <v>13</v>
      </c>
      <c r="B17" s="22" t="inlineStr">
        <is>
          <t>Nimba Nature Cure</t>
        </is>
      </c>
      <c r="C17" s="26" t="inlineStr">
        <is>
          <t>Mass-scale naturopathy</t>
        </is>
      </c>
      <c r="D17" s="27">
        <f>'Master Panel'!F16</f>
        <v/>
      </c>
      <c r="E17" s="28">
        <f>IFERROR(INDEX(Assumptions!$C$6:$C$11,MATCH(C17,Assumptions!$B$6:$B$11,0)),"")</f>
        <v/>
      </c>
      <c r="F17" s="29" t="n">
        <v>13000</v>
      </c>
      <c r="G17" s="30">
        <f>IF(D17="","",D17*365)</f>
        <v/>
      </c>
      <c r="H17" s="30">
        <f>IF(G17="","",G17*E17)</f>
        <v/>
      </c>
      <c r="I17" s="31">
        <f>IF(OR(H17="",F17=""),"",H17*F17/10000000)</f>
        <v/>
      </c>
      <c r="J17" s="32" t="inlineStr"/>
      <c r="K17" s="28">
        <f>IF(OR(J17="",I17=""),"",I17/J17-1)</f>
        <v/>
      </c>
      <c r="L17" s="31">
        <f>IF(OR(I17="",D17="",D17=0),"",I17*100/D17)</f>
        <v/>
      </c>
      <c r="M17" s="27">
        <f>'Master Panel'!H16</f>
        <v/>
      </c>
      <c r="N17" s="33">
        <f>IF(OR(I17="",M17="",M17=0),"",I17/M17)</f>
        <v/>
      </c>
    </row>
    <row r="18">
      <c r="A18" s="34" t="n">
        <v>14</v>
      </c>
      <c r="B18" s="35" t="inlineStr">
        <is>
          <t>Patanjali Yog Gram</t>
        </is>
      </c>
      <c r="C18" s="34" t="inlineStr">
        <is>
          <t>Mass-scale naturopathy</t>
        </is>
      </c>
      <c r="D18" s="36">
        <f>'Master Panel'!F17</f>
        <v/>
      </c>
      <c r="E18" s="37">
        <f>IFERROR(INDEX(Assumptions!$C$6:$C$11,MATCH(C18,Assumptions!$B$6:$B$11,0)),"")</f>
        <v/>
      </c>
      <c r="F18" s="29" t="n">
        <v>3500</v>
      </c>
      <c r="G18" s="38">
        <f>IF(D18="","",D18*365)</f>
        <v/>
      </c>
      <c r="H18" s="38">
        <f>IF(G18="","",G18*E18)</f>
        <v/>
      </c>
      <c r="I18" s="39">
        <f>IF(OR(H18="",F18=""),"",H18*F18/10000000)</f>
        <v/>
      </c>
      <c r="J18" s="40" t="inlineStr"/>
      <c r="K18" s="37">
        <f>IF(OR(J18="",I18=""),"",I18/J18-1)</f>
        <v/>
      </c>
      <c r="L18" s="39">
        <f>IF(OR(I18="",D18="",D18=0),"",I18*100/D18)</f>
        <v/>
      </c>
      <c r="M18" s="36">
        <f>'Master Panel'!H17</f>
        <v/>
      </c>
      <c r="N18" s="41">
        <f>IF(OR(I18="",M18="",M18=0),"",I18/M18)</f>
        <v/>
      </c>
    </row>
    <row r="19">
      <c r="A19" s="26" t="n">
        <v>15</v>
      </c>
      <c r="B19" s="22" t="inlineStr">
        <is>
          <t>Prakriti Shakti</t>
        </is>
      </c>
      <c r="C19" s="26" t="inlineStr">
        <is>
          <t>Mass-scale naturopathy</t>
        </is>
      </c>
      <c r="D19" s="27">
        <f>'Master Panel'!F18</f>
        <v/>
      </c>
      <c r="E19" s="28">
        <f>IFERROR(INDEX(Assumptions!$C$6:$C$11,MATCH(C19,Assumptions!$B$6:$B$11,0)),"")</f>
        <v/>
      </c>
      <c r="F19" s="29" t="n">
        <v>30000</v>
      </c>
      <c r="G19" s="30">
        <f>IF(D19="","",D19*365)</f>
        <v/>
      </c>
      <c r="H19" s="30">
        <f>IF(G19="","",G19*E19)</f>
        <v/>
      </c>
      <c r="I19" s="31">
        <f>IF(OR(H19="",F19=""),"",H19*F19/10000000)</f>
        <v/>
      </c>
      <c r="J19" s="32" t="inlineStr"/>
      <c r="K19" s="28">
        <f>IF(OR(J19="",I19=""),"",I19/J19-1)</f>
        <v/>
      </c>
      <c r="L19" s="31">
        <f>IF(OR(I19="",D19="",D19=0),"",I19*100/D19)</f>
        <v/>
      </c>
      <c r="M19" s="27">
        <f>'Master Panel'!H18</f>
        <v/>
      </c>
      <c r="N19" s="33">
        <f>IF(OR(I19="",M19="",M19=0),"",I19/M19)</f>
        <v/>
      </c>
    </row>
    <row r="20">
      <c r="A20" s="34" t="n">
        <v>16</v>
      </c>
      <c r="B20" s="35" t="inlineStr">
        <is>
          <t>Arogyadhama (SVYASA)</t>
        </is>
      </c>
      <c r="C20" s="34" t="inlineStr">
        <is>
          <t>Mass-scale naturopathy</t>
        </is>
      </c>
      <c r="D20" s="36">
        <f>'Master Panel'!F19</f>
        <v/>
      </c>
      <c r="E20" s="37">
        <f>IFERROR(INDEX(Assumptions!$C$6:$C$11,MATCH(C20,Assumptions!$B$6:$B$11,0)),"")</f>
        <v/>
      </c>
      <c r="F20" s="29" t="n">
        <v>4000</v>
      </c>
      <c r="G20" s="38">
        <f>IF(D20="","",D20*365)</f>
        <v/>
      </c>
      <c r="H20" s="38">
        <f>IF(G20="","",G20*E20)</f>
        <v/>
      </c>
      <c r="I20" s="39">
        <f>IF(OR(H20="",F20=""),"",H20*F20/10000000)</f>
        <v/>
      </c>
      <c r="J20" s="40" t="inlineStr"/>
      <c r="K20" s="37">
        <f>IF(OR(J20="",I20=""),"",I20/J20-1)</f>
        <v/>
      </c>
      <c r="L20" s="39">
        <f>IF(OR(I20="",D20="",D20=0),"",I20*100/D20)</f>
        <v/>
      </c>
      <c r="M20" s="36">
        <f>'Master Panel'!H19</f>
        <v/>
      </c>
      <c r="N20" s="41">
        <f>IF(OR(I20="",M20="",M20=0),"",I20/M20)</f>
        <v/>
      </c>
    </row>
    <row r="21">
      <c r="A21" s="26" t="n">
        <v>17</v>
      </c>
      <c r="B21" s="22" t="inlineStr">
        <is>
          <t>Isha Rejuvenation</t>
        </is>
      </c>
      <c r="C21" s="26" t="inlineStr">
        <is>
          <t>Spiritual / yoga-led</t>
        </is>
      </c>
      <c r="D21" s="27">
        <f>'Master Panel'!F20</f>
        <v/>
      </c>
      <c r="E21" s="28">
        <f>IFERROR(INDEX(Assumptions!$C$6:$C$11,MATCH(C21,Assumptions!$B$6:$B$11,0)),"")</f>
        <v/>
      </c>
      <c r="F21" s="29" t="n">
        <v>8000</v>
      </c>
      <c r="G21" s="30">
        <f>IF(D21="","",D21*365)</f>
        <v/>
      </c>
      <c r="H21" s="30">
        <f>IF(G21="","",G21*E21)</f>
        <v/>
      </c>
      <c r="I21" s="31">
        <f>IF(OR(H21="",F21=""),"",H21*F21/10000000)</f>
        <v/>
      </c>
      <c r="J21" s="32" t="inlineStr"/>
      <c r="K21" s="28">
        <f>IF(OR(J21="",I21=""),"",I21/J21-1)</f>
        <v/>
      </c>
      <c r="L21" s="31">
        <f>IF(OR(I21="",D21="",D21=0),"",I21*100/D21)</f>
        <v/>
      </c>
      <c r="M21" s="27">
        <f>'Master Panel'!H20</f>
        <v/>
      </c>
      <c r="N21" s="33">
        <f>IF(OR(I21="",M21="",M21=0),"",I21/M21)</f>
        <v/>
      </c>
    </row>
    <row r="22">
      <c r="A22" s="34" t="n">
        <v>18</v>
      </c>
      <c r="B22" s="35" t="inlineStr">
        <is>
          <t>AyurvedaGram Heritage</t>
        </is>
      </c>
      <c r="C22" s="34" t="inlineStr">
        <is>
          <t>Spiritual / yoga-led</t>
        </is>
      </c>
      <c r="D22" s="36">
        <f>'Master Panel'!F21</f>
        <v/>
      </c>
      <c r="E22" s="37">
        <f>IFERROR(INDEX(Assumptions!$C$6:$C$11,MATCH(C22,Assumptions!$B$6:$B$11,0)),"")</f>
        <v/>
      </c>
      <c r="F22" s="29" t="n">
        <v>15000</v>
      </c>
      <c r="G22" s="38">
        <f>IF(D22="","",D22*365)</f>
        <v/>
      </c>
      <c r="H22" s="38">
        <f>IF(G22="","",G22*E22)</f>
        <v/>
      </c>
      <c r="I22" s="39">
        <f>IF(OR(H22="",F22=""),"",H22*F22/10000000)</f>
        <v/>
      </c>
      <c r="J22" s="40" t="inlineStr"/>
      <c r="K22" s="37">
        <f>IF(OR(J22="",I22=""),"",I22/J22-1)</f>
        <v/>
      </c>
      <c r="L22" s="39">
        <f>IF(OR(I22="",D22="",D22=0),"",I22*100/D22)</f>
        <v/>
      </c>
      <c r="M22" s="36">
        <f>'Master Panel'!H21</f>
        <v/>
      </c>
      <c r="N22" s="41">
        <f>IF(OR(I22="",M22="",M22=0),"",I22/M22)</f>
        <v/>
      </c>
    </row>
    <row r="23">
      <c r="A23" s="26" t="n">
        <v>19</v>
      </c>
      <c r="B23" s="22" t="inlineStr">
        <is>
          <t>Kaivalyadhama</t>
        </is>
      </c>
      <c r="C23" s="26" t="inlineStr">
        <is>
          <t>Spiritual / yoga-led</t>
        </is>
      </c>
      <c r="D23" s="27">
        <f>'Master Panel'!F22</f>
        <v/>
      </c>
      <c r="E23" s="28">
        <f>IFERROR(INDEX(Assumptions!$C$6:$C$11,MATCH(C23,Assumptions!$B$6:$B$11,0)),"")</f>
        <v/>
      </c>
      <c r="F23" s="29" t="n">
        <v>5000</v>
      </c>
      <c r="G23" s="30">
        <f>IF(D23="","",D23*365)</f>
        <v/>
      </c>
      <c r="H23" s="30">
        <f>IF(G23="","",G23*E23)</f>
        <v/>
      </c>
      <c r="I23" s="31">
        <f>IF(OR(H23="",F23=""),"",H23*F23/10000000)</f>
        <v/>
      </c>
      <c r="J23" s="32" t="inlineStr"/>
      <c r="K23" s="28">
        <f>IF(OR(J23="",I23=""),"",I23/J23-1)</f>
        <v/>
      </c>
      <c r="L23" s="31">
        <f>IF(OR(I23="",D23="",D23=0),"",I23*100/D23)</f>
        <v/>
      </c>
      <c r="M23" s="27">
        <f>'Master Panel'!H22</f>
        <v/>
      </c>
      <c r="N23" s="33">
        <f>IF(OR(I23="",M23="",M23=0),"",I23/M23)</f>
        <v/>
      </c>
    </row>
    <row r="24">
      <c r="A24" s="34" t="n">
        <v>20</v>
      </c>
      <c r="B24" s="35" t="inlineStr">
        <is>
          <t>Niraamaya Surya Samudra</t>
        </is>
      </c>
      <c r="C24" s="34" t="inlineStr">
        <is>
          <t>Resort-wellness hybrid</t>
        </is>
      </c>
      <c r="D24" s="36">
        <f>'Master Panel'!F23</f>
        <v/>
      </c>
      <c r="E24" s="37">
        <f>IFERROR(INDEX(Assumptions!$C$6:$C$11,MATCH(C24,Assumptions!$B$6:$B$11,0)),"")</f>
        <v/>
      </c>
      <c r="F24" s="29" t="n">
        <v>25000</v>
      </c>
      <c r="G24" s="38">
        <f>IF(D24="","",D24*365)</f>
        <v/>
      </c>
      <c r="H24" s="38">
        <f>IF(G24="","",G24*E24)</f>
        <v/>
      </c>
      <c r="I24" s="39">
        <f>IF(OR(H24="",F24=""),"",H24*F24/10000000)</f>
        <v/>
      </c>
      <c r="J24" s="40" t="inlineStr"/>
      <c r="K24" s="37">
        <f>IF(OR(J24="",I24=""),"",I24/J24-1)</f>
        <v/>
      </c>
      <c r="L24" s="39">
        <f>IF(OR(I24="",D24="",D24=0),"",I24*100/D24)</f>
        <v/>
      </c>
      <c r="M24" s="36">
        <f>'Master Panel'!H23</f>
        <v/>
      </c>
      <c r="N24" s="41">
        <f>IF(OR(I24="",M24="",M24=0),"",I24/M24)</f>
        <v/>
      </c>
    </row>
    <row r="25">
      <c r="A25" s="26" t="n">
        <v>21</v>
      </c>
      <c r="B25" s="22" t="inlineStr">
        <is>
          <t>Six Senses Fort Barwara</t>
        </is>
      </c>
      <c r="C25" s="26" t="inlineStr">
        <is>
          <t>Resort-wellness hybrid</t>
        </is>
      </c>
      <c r="D25" s="27">
        <f>'Master Panel'!F24</f>
        <v/>
      </c>
      <c r="E25" s="28">
        <f>IFERROR(INDEX(Assumptions!$C$6:$C$11,MATCH(C25,Assumptions!$B$6:$B$11,0)),"")</f>
        <v/>
      </c>
      <c r="F25" s="29" t="n">
        <v>45000</v>
      </c>
      <c r="G25" s="30">
        <f>IF(D25="","",D25*365)</f>
        <v/>
      </c>
      <c r="H25" s="30">
        <f>IF(G25="","",G25*E25)</f>
        <v/>
      </c>
      <c r="I25" s="31">
        <f>IF(OR(H25="",F25=""),"",H25*F25/10000000)</f>
        <v/>
      </c>
      <c r="J25" s="32" t="inlineStr"/>
      <c r="K25" s="28">
        <f>IF(OR(J25="",I25=""),"",I25/J25-1)</f>
        <v/>
      </c>
      <c r="L25" s="31">
        <f>IF(OR(I25="",D25="",D25=0),"",I25*100/D25)</f>
        <v/>
      </c>
      <c r="M25" s="27">
        <f>'Master Panel'!H24</f>
        <v/>
      </c>
      <c r="N25" s="33">
        <f>IF(OR(I25="",M25="",M25=0),"",I25/M25)</f>
        <v/>
      </c>
    </row>
    <row r="26">
      <c r="A26" s="34" t="n">
        <v>22</v>
      </c>
      <c r="B26" s="35" t="inlineStr">
        <is>
          <t>SwaSwara</t>
        </is>
      </c>
      <c r="C26" s="34" t="inlineStr">
        <is>
          <t>Resort-wellness hybrid</t>
        </is>
      </c>
      <c r="D26" s="36">
        <f>'Master Panel'!F25</f>
        <v/>
      </c>
      <c r="E26" s="37">
        <f>IFERROR(INDEX(Assumptions!$C$6:$C$11,MATCH(C26,Assumptions!$B$6:$B$11,0)),"")</f>
        <v/>
      </c>
      <c r="F26" s="29" t="n">
        <v>22000</v>
      </c>
      <c r="G26" s="38">
        <f>IF(D26="","",D26*365)</f>
        <v/>
      </c>
      <c r="H26" s="38">
        <f>IF(G26="","",G26*E26)</f>
        <v/>
      </c>
      <c r="I26" s="39">
        <f>IF(OR(H26="",F26=""),"",H26*F26/10000000)</f>
        <v/>
      </c>
      <c r="J26" s="40" t="inlineStr"/>
      <c r="K26" s="37">
        <f>IF(OR(J26="",I26=""),"",I26/J26-1)</f>
        <v/>
      </c>
      <c r="L26" s="39">
        <f>IF(OR(I26="",D26="",D26=0),"",I26*100/D26)</f>
        <v/>
      </c>
      <c r="M26" s="36">
        <f>'Master Panel'!H25</f>
        <v/>
      </c>
      <c r="N26" s="41">
        <f>IF(OR(I26="",M26="",M26=0),"",I26/M26)</f>
        <v/>
      </c>
    </row>
    <row r="27">
      <c r="A27" s="26" t="n">
        <v>23</v>
      </c>
      <c r="B27" s="22" t="inlineStr">
        <is>
          <t>Shreyas Retreat</t>
        </is>
      </c>
      <c r="C27" s="26" t="inlineStr">
        <is>
          <t>Resort-wellness hybrid</t>
        </is>
      </c>
      <c r="D27" s="27">
        <f>'Master Panel'!F26</f>
        <v/>
      </c>
      <c r="E27" s="28">
        <f>IFERROR(INDEX(Assumptions!$C$6:$C$11,MATCH(C27,Assumptions!$B$6:$B$11,0)),"")</f>
        <v/>
      </c>
      <c r="F27" s="29" t="n">
        <v>26000</v>
      </c>
      <c r="G27" s="30">
        <f>IF(D27="","",D27*365)</f>
        <v/>
      </c>
      <c r="H27" s="30">
        <f>IF(G27="","",G27*E27)</f>
        <v/>
      </c>
      <c r="I27" s="31">
        <f>IF(OR(H27="",F27=""),"",H27*F27/10000000)</f>
        <v/>
      </c>
      <c r="J27" s="32" t="inlineStr"/>
      <c r="K27" s="28">
        <f>IF(OR(J27="",I27=""),"",I27/J27-1)</f>
        <v/>
      </c>
      <c r="L27" s="31">
        <f>IF(OR(I27="",D27="",D27=0),"",I27*100/D27)</f>
        <v/>
      </c>
      <c r="M27" s="27">
        <f>'Master Panel'!H26</f>
        <v/>
      </c>
      <c r="N27" s="33">
        <f>IF(OR(I27="",M27="",M27=0),"",I27/M27)</f>
        <v/>
      </c>
    </row>
    <row r="28">
      <c r="A28" s="34" t="n">
        <v>24</v>
      </c>
      <c r="B28" s="35" t="inlineStr">
        <is>
          <t>Naad Wellness</t>
        </is>
      </c>
      <c r="C28" s="34" t="inlineStr">
        <is>
          <t>Urban / new-format</t>
        </is>
      </c>
      <c r="D28" s="36">
        <f>'Master Panel'!F27</f>
        <v/>
      </c>
      <c r="E28" s="37">
        <f>IFERROR(INDEX(Assumptions!$C$6:$C$11,MATCH(C28,Assumptions!$B$6:$B$11,0)),"")</f>
        <v/>
      </c>
      <c r="F28" s="29" t="n">
        <v>16000</v>
      </c>
      <c r="G28" s="38">
        <f>IF(D28="","",D28*365)</f>
        <v/>
      </c>
      <c r="H28" s="38">
        <f>IF(G28="","",G28*E28)</f>
        <v/>
      </c>
      <c r="I28" s="39">
        <f>IF(OR(H28="",F28=""),"",H28*F28/10000000)</f>
        <v/>
      </c>
      <c r="J28" s="40" t="inlineStr"/>
      <c r="K28" s="37">
        <f>IF(OR(J28="",I28=""),"",I28/J28-1)</f>
        <v/>
      </c>
      <c r="L28" s="39">
        <f>IF(OR(I28="",D28="",D28=0),"",I28*100/D28)</f>
        <v/>
      </c>
      <c r="M28" s="36">
        <f>'Master Panel'!H27</f>
        <v/>
      </c>
      <c r="N28" s="41">
        <f>IF(OR(I28="",M28="",M28=0),"",I28/M28)</f>
        <v/>
      </c>
    </row>
    <row r="30">
      <c r="B30" s="20" t="inlineStr">
        <is>
          <t>Rows with blank Keys produce blank results by design — the model refuses to invent a denominator. Fill Keys on Master Panel and the row computes.</t>
        </is>
      </c>
    </row>
  </sheetData>
  <mergeCells count="1">
    <mergeCell ref="A2:N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D24"/>
  <sheetViews>
    <sheetView workbookViewId="0">
      <selection activeCell="A1" sqref="A1"/>
    </sheetView>
  </sheetViews>
  <sheetFormatPr baseColWidth="8" defaultRowHeight="15"/>
  <cols>
    <col width="4" customWidth="1" min="1" max="1"/>
    <col width="40" customWidth="1" min="2" max="2"/>
    <col width="20" customWidth="1" min="3" max="3"/>
    <col width="70" customWidth="1" min="4" max="4"/>
  </cols>
  <sheetData>
    <row r="2">
      <c r="B2" s="6" t="inlineStr">
        <is>
          <t>MODEL CALIBRATION — THE ATMANTAN ANCHOR</t>
        </is>
      </c>
    </row>
    <row r="3">
      <c r="B3" s="21" t="inlineStr">
        <is>
          <t>The IHCL transaction is the only event in this sector that put audited revenue, key count and an enterprise value into the public record simultaneously. It is the single most valuable data point available and the model is calibrated to it.</t>
        </is>
      </c>
    </row>
    <row r="5" ht="24" customHeight="1">
      <c r="A5" s="7" t="inlineStr"/>
      <c r="B5" s="7" t="inlineStr">
        <is>
          <t>Input</t>
        </is>
      </c>
      <c r="C5" s="7" t="inlineStr">
        <is>
          <t>Value</t>
        </is>
      </c>
      <c r="D5" s="7" t="inlineStr">
        <is>
          <t>Tier</t>
        </is>
      </c>
    </row>
    <row r="6">
      <c r="B6" s="22" t="inlineStr">
        <is>
          <t>Keys</t>
        </is>
      </c>
      <c r="C6" s="42" t="n">
        <v>97</v>
      </c>
      <c r="D6" s="24" t="inlineStr">
        <is>
          <t>T1 — Published</t>
        </is>
      </c>
    </row>
    <row r="7">
      <c r="B7" s="22" t="inlineStr">
        <is>
          <t>Land (acres)</t>
        </is>
      </c>
      <c r="C7" s="42" t="n">
        <v>36</v>
      </c>
      <c r="D7" s="24" t="inlineStr">
        <is>
          <t>T1 — Published</t>
        </is>
      </c>
    </row>
    <row r="8">
      <c r="B8" s="22" t="inlineStr">
        <is>
          <t>FY25 revenue (Rs cr)</t>
        </is>
      </c>
      <c r="C8" s="42" t="n">
        <v>76.7</v>
      </c>
      <c r="D8" s="24" t="inlineStr">
        <is>
          <t>T1 — Disclosed in IHCL transaction reporting</t>
        </is>
      </c>
    </row>
    <row r="9">
      <c r="B9" s="22" t="inlineStr">
        <is>
          <t>Enterprise value (Rs cr)</t>
        </is>
      </c>
      <c r="C9" s="42" t="n">
        <v>415</v>
      </c>
      <c r="D9" s="24" t="inlineStr">
        <is>
          <t>T1 — Estimated EV of target in transaction reporting</t>
        </is>
      </c>
    </row>
    <row r="10">
      <c r="B10" s="22" t="inlineStr">
        <is>
          <t>Consideration for 51% (Rs cr)</t>
        </is>
      </c>
      <c r="C10" s="42" t="n">
        <v>232.21</v>
      </c>
      <c r="D10" s="24" t="inlineStr">
        <is>
          <t>T1 — Completed acquisition of Sparsh Infratech</t>
        </is>
      </c>
    </row>
    <row r="12">
      <c r="B12" s="43" t="inlineStr">
        <is>
          <t>DERIVED BENCHMARKS</t>
        </is>
      </c>
    </row>
    <row r="13">
      <c r="B13" s="22" t="inlineStr">
        <is>
          <t>Revenue per key (Rs lakh)</t>
        </is>
      </c>
      <c r="C13" s="33">
        <f>C8*100/C6</f>
        <v/>
      </c>
    </row>
    <row r="14">
      <c r="B14" s="22" t="inlineStr">
        <is>
          <t>Revenue per acre (Rs cr)</t>
        </is>
      </c>
      <c r="C14" s="33">
        <f>C8/C7</f>
        <v/>
      </c>
    </row>
    <row r="15">
      <c r="B15" s="22" t="inlineStr">
        <is>
          <t>EV / Revenue (x)</t>
        </is>
      </c>
      <c r="C15" s="33">
        <f>C9/C8</f>
        <v/>
      </c>
    </row>
    <row r="16">
      <c r="B16" s="22" t="inlineStr">
        <is>
          <t>EV per key (Rs cr)</t>
        </is>
      </c>
      <c r="C16" s="33">
        <f>C9/C6</f>
        <v/>
      </c>
    </row>
    <row r="17">
      <c r="B17" s="22" t="inlineStr">
        <is>
          <t>Implied 100% equity value (Rs cr)</t>
        </is>
      </c>
      <c r="C17" s="33">
        <f>C10/0.51</f>
        <v/>
      </c>
    </row>
    <row r="18">
      <c r="B18" s="22" t="inlineStr">
        <is>
          <t>Implied TROR at 65% occupancy (Rs)</t>
        </is>
      </c>
      <c r="C18" s="33">
        <f>C8*10000000/(C6*365*Assumptions!C6)</f>
        <v/>
      </c>
    </row>
    <row r="20">
      <c r="B20" s="4" t="inlineStr">
        <is>
          <t>WHY THIS MATTERS: back-solving Atmantan's disclosed revenue against its key count at an assumed 65% occupancy yields a TROR of roughly Rs 33,000 per occupied room-night — squarely consistent with its published all-inclusive programme pricing. The model reproduces a known answer from independent inputs, which is the strongest validation available without filings for the rest of the panel. Every other revenue estimate here inherits that method — and should be read with a wider error band, because none of them have this check.</t>
        </is>
      </c>
    </row>
    <row r="21"/>
    <row r="22"/>
    <row r="23"/>
    <row r="24"/>
  </sheetData>
  <mergeCells count="2">
    <mergeCell ref="B20:D24"/>
    <mergeCell ref="B3:D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G13"/>
  <sheetViews>
    <sheetView workbookViewId="0">
      <selection activeCell="A1" sqref="A1"/>
    </sheetView>
  </sheetViews>
  <sheetFormatPr baseColWidth="8" defaultRowHeight="15"/>
  <cols>
    <col width="4" customWidth="1" min="1" max="1"/>
    <col width="30" customWidth="1" min="2" max="2"/>
    <col width="18" customWidth="1" min="3" max="3"/>
    <col width="18" customWidth="1" min="4" max="4"/>
    <col width="20" customWidth="1" min="5" max="5"/>
    <col width="14" customWidth="1" min="6" max="6"/>
    <col width="62" customWidth="1" min="7" max="7"/>
  </cols>
  <sheetData>
    <row r="2">
      <c r="B2" s="6" t="inlineStr">
        <is>
          <t>PUBLISHED PRICING DATABASE (T1 where sourced)</t>
        </is>
      </c>
    </row>
    <row r="4" ht="26" customHeight="1">
      <c r="A4" s="7" t="inlineStr"/>
      <c r="B4" s="7" t="inlineStr">
        <is>
          <t>Property</t>
        </is>
      </c>
      <c r="C4" s="7" t="inlineStr">
        <is>
          <t>Single</t>
        </is>
      </c>
      <c r="D4" s="7" t="inlineStr">
        <is>
          <t>Double</t>
        </is>
      </c>
      <c r="E4" s="7" t="inlineStr">
        <is>
          <t>Basis</t>
        </is>
      </c>
      <c r="F4" s="7" t="inlineStr">
        <is>
          <t>Tier</t>
        </is>
      </c>
      <c r="G4" s="7" t="inlineStr">
        <is>
          <t>Note</t>
        </is>
      </c>
    </row>
    <row r="5" ht="32" customHeight="1">
      <c r="B5" s="22" t="inlineStr">
        <is>
          <t>Jindal Naturecure</t>
        </is>
      </c>
      <c r="C5" s="26" t="inlineStr">
        <is>
          <t>Rs 6,000 / night</t>
        </is>
      </c>
      <c r="D5" s="26" t="inlineStr">
        <is>
          <t>Rs 9,000 / night</t>
        </is>
      </c>
      <c r="E5" s="26" t="inlineStr">
        <is>
          <t>Executive room, sgl vs dbl</t>
        </is>
      </c>
      <c r="F5" s="24" t="inlineStr">
        <is>
          <t>T1</t>
        </is>
      </c>
      <c r="G5" s="13" t="inlineStr">
        <is>
          <t>UNBUNDLED: plus Rs 2,000-3,000/day treatment. Diet + consultation free. Second guest adds only ~50% — the single-occupancy economics problem in one line.</t>
        </is>
      </c>
    </row>
    <row r="6" ht="32" customHeight="1">
      <c r="B6" s="22" t="inlineStr">
        <is>
          <t>Kalari Kovilakom</t>
        </is>
      </c>
      <c r="C6" s="26" t="inlineStr">
        <is>
          <t>EUR 11,220 / 14 nights</t>
        </is>
      </c>
      <c r="D6" s="26" t="inlineStr">
        <is>
          <t>EUR 6,600 / 14 nights</t>
        </is>
      </c>
      <c r="E6" s="26" t="inlineStr">
        <is>
          <t>Kovilakom suite, per person</t>
        </is>
      </c>
      <c r="F6" s="24" t="inlineStr">
        <is>
          <t>T1</t>
        </is>
      </c>
      <c r="G6" s="13" t="inlineStr">
        <is>
          <t>70% single supplement. All-inclusive: treatments, oils, food, yoga, airport transfer.</t>
        </is>
      </c>
    </row>
    <row r="7" ht="32" customHeight="1">
      <c r="B7" s="22" t="inlineStr">
        <is>
          <t>Kalari Kovilakom</t>
        </is>
      </c>
      <c r="C7" s="26" t="inlineStr">
        <is>
          <t>—</t>
        </is>
      </c>
      <c r="D7" s="26" t="inlineStr">
        <is>
          <t>EUR 8,970 / 14 nights</t>
        </is>
      </c>
      <c r="E7" s="26" t="inlineStr">
        <is>
          <t>Vengunad suite, dbl</t>
        </is>
      </c>
      <c r="F7" s="24" t="inlineStr">
        <is>
          <t>T1</t>
        </is>
      </c>
      <c r="G7" s="13" t="inlineStr">
        <is>
          <t>Higher category.</t>
        </is>
      </c>
    </row>
    <row r="8" ht="32" customHeight="1">
      <c r="B8" s="22" t="inlineStr">
        <is>
          <t>Six Senses Vana</t>
        </is>
      </c>
      <c r="C8" s="26" t="inlineStr">
        <is>
          <t>from US$570 / night</t>
        </is>
      </c>
      <c r="D8" s="26" t="inlineStr">
        <is>
          <t>—</t>
        </is>
      </c>
      <c r="E8" s="26" t="inlineStr">
        <is>
          <t>Room, full board</t>
        </is>
      </c>
      <c r="F8" s="24" t="inlineStr">
        <is>
          <t>T1</t>
        </is>
      </c>
      <c r="G8" s="13" t="inlineStr">
        <is>
          <t>Includes accommodation, full board, wellness screening, daily programme, private treatments.</t>
        </is>
      </c>
    </row>
    <row r="9" ht="32" customHeight="1">
      <c r="B9" s="22" t="inlineStr">
        <is>
          <t>SOUKYA</t>
        </is>
      </c>
      <c r="C9" s="26" t="inlineStr">
        <is>
          <t>US$260-950 / night</t>
        </is>
      </c>
      <c r="D9" s="26" t="inlineStr">
        <is>
          <t>—</t>
        </is>
      </c>
      <c r="E9" s="26" t="inlineStr">
        <is>
          <t>Range across categories</t>
        </is>
      </c>
      <c r="F9" s="24" t="inlineStr">
        <is>
          <t>T1</t>
        </is>
      </c>
      <c r="G9" s="13" t="inlineStr">
        <is>
          <t>Integrative programme pricing.</t>
        </is>
      </c>
    </row>
    <row r="10" ht="32" customHeight="1">
      <c r="B10" s="22" t="inlineStr">
        <is>
          <t>Nimba Nature Cure</t>
        </is>
      </c>
      <c r="C10" s="26" t="inlineStr">
        <is>
          <t>Rs 9,500-17,000 / day</t>
        </is>
      </c>
      <c r="D10" s="26" t="inlineStr">
        <is>
          <t>—</t>
        </is>
      </c>
      <c r="E10" s="26" t="inlineStr">
        <is>
          <t>Package</t>
        </is>
      </c>
      <c r="F10" s="24" t="inlineStr">
        <is>
          <t>T1</t>
        </is>
      </c>
      <c r="G10" s="13" t="inlineStr">
        <is>
          <t>Includes stay, diet, consultation and two therapies.</t>
        </is>
      </c>
    </row>
    <row r="11" ht="32" customHeight="1">
      <c r="B11" s="22" t="inlineStr">
        <is>
          <t>Prakriti Shakti</t>
        </is>
      </c>
      <c r="C11" s="26" t="inlineStr">
        <is>
          <t>US$3,010-5,591</t>
        </is>
      </c>
      <c r="D11" s="26" t="inlineStr">
        <is>
          <t>—</t>
        </is>
      </c>
      <c r="E11" s="26" t="inlineStr">
        <is>
          <t>Programme (basic to valley view)</t>
        </is>
      </c>
      <c r="F11" s="24" t="inlineStr">
        <is>
          <t>T1</t>
        </is>
      </c>
      <c r="G11" s="13" t="inlineStr">
        <is>
          <t>CGH Earth naturopathy clinic.</t>
        </is>
      </c>
    </row>
    <row r="12" ht="32" customHeight="1">
      <c r="B12" s="22" t="inlineStr">
        <is>
          <t>Dharana at Shillim</t>
        </is>
      </c>
      <c r="C12" s="26" t="inlineStr">
        <is>
          <t>from US$1,479</t>
        </is>
      </c>
      <c r="D12" s="26" t="inlineStr">
        <is>
          <t>—</t>
        </is>
      </c>
      <c r="E12" s="26" t="inlineStr">
        <is>
          <t>Programme</t>
        </is>
      </c>
      <c r="F12" s="24" t="inlineStr">
        <is>
          <t>T2</t>
        </is>
      </c>
      <c r="G12" s="13" t="inlineStr">
        <is>
          <t>Via specialist agent listing.</t>
        </is>
      </c>
    </row>
    <row r="13" ht="32" customHeight="1">
      <c r="B13" s="22" t="inlineStr">
        <is>
          <t>Patanjali Yog Gram</t>
        </is>
      </c>
      <c r="C13" s="26" t="inlineStr">
        <is>
          <t>No fixed published price</t>
        </is>
      </c>
      <c r="D13" s="26" t="inlineStr">
        <is>
          <t>—</t>
        </is>
      </c>
      <c r="E13" s="26" t="inlineStr">
        <is>
          <t>Varies by room + therapy plan</t>
        </is>
      </c>
      <c r="F13" s="24" t="inlineStr">
        <is>
          <t>T1</t>
        </is>
      </c>
      <c r="G13" s="13" t="inlineStr">
        <is>
          <t>Panchakarma course context: Rs 15,000-40,000 for 7-14 days.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D17"/>
  <sheetViews>
    <sheetView workbookViewId="0">
      <selection activeCell="A1" sqref="A1"/>
    </sheetView>
  </sheetViews>
  <sheetFormatPr baseColWidth="8" defaultRowHeight="15"/>
  <cols>
    <col width="4" customWidth="1" min="1" max="1"/>
    <col width="34" customWidth="1" min="2" max="2"/>
    <col width="26" customWidth="1" min="3" max="3"/>
    <col width="80" customWidth="1" min="4" max="4"/>
  </cols>
  <sheetData>
    <row r="2">
      <c r="B2" s="6" t="inlineStr">
        <is>
          <t>SOURCES</t>
        </is>
      </c>
    </row>
    <row r="4" ht="24" customHeight="1">
      <c r="A4" s="7" t="inlineStr"/>
      <c r="B4" s="7" t="inlineStr">
        <is>
          <t>Source</t>
        </is>
      </c>
      <c r="C4" s="7" t="inlineStr">
        <is>
          <t>Type</t>
        </is>
      </c>
      <c r="D4" s="7" t="inlineStr">
        <is>
          <t>What it supports</t>
        </is>
      </c>
    </row>
    <row r="5" ht="30" customHeight="1">
      <c r="B5" s="22" t="inlineStr">
        <is>
          <t>Business Standard / Hotel Online / ScanX</t>
        </is>
      </c>
      <c r="C5" s="26" t="inlineStr">
        <is>
          <t>Trade + financial press</t>
        </is>
      </c>
      <c r="D5" s="13" t="inlineStr">
        <is>
          <t>IHCL acquisition of 51% of Sparsh Infratech (Atmantan): Rs 232.21cr consideration, Rs 415cr EV, FY25 revenue Rs 76.7cr</t>
        </is>
      </c>
    </row>
    <row r="6" ht="30" customHeight="1">
      <c r="B6" s="22" t="inlineStr">
        <is>
          <t>jindalnaturecure.in (tariff, accommodation, about)</t>
        </is>
      </c>
      <c r="C6" s="26" t="inlineStr">
        <is>
          <t>Company site — T1</t>
        </is>
      </c>
      <c r="D6" s="13" t="inlineStr">
        <is>
          <t>Room tariffs, unbundled treatment charges, 130-acre campus, bed blocks</t>
        </is>
      </c>
    </row>
    <row r="7" ht="30" customHeight="1">
      <c r="B7" s="22" t="inlineStr">
        <is>
          <t>nimba.in (tariff)</t>
        </is>
      </c>
      <c r="C7" s="26" t="inlineStr">
        <is>
          <t>Company site — T1</t>
        </is>
      </c>
      <c r="D7" s="13" t="inlineStr">
        <is>
          <t>Rs 9,500-17,000/day package pricing, 100 acres</t>
        </is>
      </c>
    </row>
    <row r="8" ht="30" customHeight="1">
      <c r="B8" s="22" t="inlineStr">
        <is>
          <t>patanjaliwellness.com</t>
        </is>
      </c>
      <c r="C8" s="26" t="inlineStr">
        <is>
          <t>Company site — T1</t>
        </is>
      </c>
      <c r="D8" s="13" t="inlineStr">
        <is>
          <t>Yog Gram 1,212 rooms</t>
        </is>
      </c>
    </row>
    <row r="9" ht="30" customHeight="1">
      <c r="B9" s="22" t="inlineStr">
        <is>
          <t>cghearthayurveda.com / keralaayurvedapackages.org</t>
        </is>
      </c>
      <c r="C9" s="26" t="inlineStr">
        <is>
          <t>Company + agent — T1/T2</t>
        </is>
      </c>
      <c r="D9" s="13" t="inlineStr">
        <is>
          <t>Kalari Kovilakom 14-day package rates, single vs double</t>
        </is>
      </c>
    </row>
    <row r="10" ht="30" customHeight="1">
      <c r="B10" s="22" t="inlineStr">
        <is>
          <t>sixsenses.com / Robb Report / Mr &amp; Mrs Smith</t>
        </is>
      </c>
      <c r="C10" s="26" t="inlineStr">
        <is>
          <t>Company + press — T1</t>
        </is>
      </c>
      <c r="D10" s="13" t="inlineStr">
        <is>
          <t>Six Senses Vana 66 rooms + 16 suites, 21 acres, rate floor</t>
        </is>
      </c>
    </row>
    <row r="11" ht="30" customHeight="1">
      <c r="B11" s="22" t="inlineStr">
        <is>
          <t>Wikipedia / Healing Hotels / venue listings</t>
        </is>
      </c>
      <c r="C11" s="26" t="inlineStr">
        <is>
          <t>Secondary — T2</t>
        </is>
      </c>
      <c r="D11" s="13" t="inlineStr">
        <is>
          <t>Ananda 78 keys, 100 acres, opened 2000, 14 programmes</t>
        </is>
      </c>
    </row>
    <row r="12" ht="30" customHeight="1">
      <c r="B12" s="22" t="inlineStr">
        <is>
          <t>soukya.com / Healing Holidays / Compare Retreats</t>
        </is>
      </c>
      <c r="C12" s="26" t="inlineStr">
        <is>
          <t>Company + agent — T1/T2</t>
        </is>
      </c>
      <c r="D12" s="13" t="inlineStr">
        <is>
          <t>SOUKYA 25 keys, 30 acres, rate range</t>
        </is>
      </c>
    </row>
    <row r="13" ht="30" customHeight="1">
      <c r="B13" s="22" t="inlineStr">
        <is>
          <t>kairali.com / ayurvedichealingvillage.com</t>
        </is>
      </c>
      <c r="C13" s="26" t="inlineStr">
        <is>
          <t>Company — T1</t>
        </is>
      </c>
      <c r="D13" s="13" t="inlineStr">
        <is>
          <t>Kairali 30 villas, 65 acres</t>
        </is>
      </c>
    </row>
    <row r="14" ht="30" customHeight="1">
      <c r="B14" s="22" t="inlineStr">
        <is>
          <t>ayurvedagram.com / listings</t>
        </is>
      </c>
      <c r="C14" s="26" t="inlineStr">
        <is>
          <t>Company + secondary — T1/T2</t>
        </is>
      </c>
      <c r="D14" s="13" t="inlineStr">
        <is>
          <t>AyurvedaGram 28 rooms, 7 acres</t>
        </is>
      </c>
    </row>
    <row r="15" ht="30" customHeight="1">
      <c r="B15" s="22" t="inlineStr">
        <is>
          <t>Global Wellness Institute (via secondary carriers)</t>
        </is>
      </c>
      <c r="C15" s="26" t="inlineStr">
        <is>
          <t>Industry research — T2</t>
        </is>
      </c>
      <c r="D15" s="13" t="inlineStr">
        <is>
          <t>Global wellness economy $6.8tn 2024 → $9.8tn 2029; India ~7th, ~11.3% CAGR. NOTE: GWI site blocked by network egress proxy in this environment</t>
        </is>
      </c>
    </row>
    <row r="16" ht="30" customHeight="1">
      <c r="B16" s="22" t="inlineStr">
        <is>
          <t>Precedence / Mordor / IMARC / PIB</t>
        </is>
      </c>
      <c r="C16" s="26" t="inlineStr">
        <is>
          <t>Market research + government</t>
        </is>
      </c>
      <c r="D16" s="13" t="inlineStr">
        <is>
          <t>India wellness tourism size estimates — mutually inconsistent, see reconciliation</t>
        </is>
      </c>
    </row>
    <row r="17" ht="30" customHeight="1">
      <c r="B17" s="22" t="inlineStr">
        <is>
          <t>Hotel News Resource / STR-CoStar</t>
        </is>
      </c>
      <c r="C17" s="26" t="inlineStr">
        <is>
          <t>Industry benchmark — T2</t>
        </is>
      </c>
      <c r="D17" s="13" t="inlineStr">
        <is>
          <t>Global wellness hotel ADR ~US$250, RevPAR ~US$170 (2025) — sanity band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2026-08-15T21:16:19Z</dcterms:created>
  <dcterms:modified xmlns:dcterms="http://purl.org/dc/terms/" xmlns:xsi="http://www.w3.org/2001/XMLSchema-instance" xsi:type="dcterms:W3CDTF">2026-08-15T21:16:19Z</dcterms:modified>
</cp:coreProperties>
</file>