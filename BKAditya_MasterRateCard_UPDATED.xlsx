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ster Rate Car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333333"/>
      <sz val="7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155724"/>
      <sz val="8"/>
    </font>
    <font>
      <name val="Arial"/>
      <charset val="1"/>
      <family val="0"/>
      <color rgb="FF9C0006"/>
      <sz val="8"/>
    </font>
    <font>
      <name val="Arial"/>
      <charset val="1"/>
      <family val="0"/>
      <color rgb="FF7B5A00"/>
      <sz val="8"/>
    </font>
    <font>
      <name val="Arial"/>
      <charset val="1"/>
      <family val="0"/>
      <b val="1"/>
      <color rgb="FF9C0006"/>
      <sz val="9"/>
    </font>
    <font>
      <name val="Arial"/>
      <charset val="1"/>
      <family val="0"/>
      <b val="1"/>
      <color rgb="FF9C0006"/>
      <sz val="8"/>
    </font>
    <font>
      <name val="Calibri"/>
      <sz val="11"/>
    </font>
  </fonts>
  <fills count="1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FFC7CE"/>
        <bgColor rgb="FFFCE4D6"/>
      </patternFill>
    </fill>
    <fill>
      <patternFill patternType="solid">
        <fgColor rgb="FFE8F4FD"/>
        <bgColor rgb="FFEBF3FB"/>
      </patternFill>
    </fill>
    <fill>
      <patternFill patternType="solid">
        <fgColor rgb="FFFFEB9C"/>
        <bgColor rgb="FFFFF2CC"/>
      </patternFill>
    </fill>
    <fill>
      <patternFill patternType="solid">
        <fgColor rgb="FFEBF3FB"/>
        <bgColor rgb="FFE8F4F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DE7"/>
        <bgColor rgb="FFFFFFFF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indent="1"/>
    </xf>
    <xf numFmtId="4" fontId="8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indent="1"/>
    </xf>
    <xf numFmtId="4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indent="1"/>
    </xf>
    <xf numFmtId="4" fontId="10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indent="1"/>
    </xf>
    <xf numFmtId="4" fontId="8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 indent="1"/>
    </xf>
    <xf numFmtId="4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 indent="1"/>
    </xf>
    <xf numFmtId="4" fontId="8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 indent="1"/>
    </xf>
    <xf numFmtId="4" fontId="8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left" vertical="center" indent="1"/>
    </xf>
    <xf numFmtId="4" fontId="8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11" fillId="5" borderId="2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indent="1"/>
    </xf>
    <xf numFmtId="0" fontId="0" fillId="0" borderId="4" pivotButton="0" quotePrefix="0" xfId="0"/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indent="1"/>
    </xf>
    <xf numFmtId="4" fontId="8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indent="1"/>
    </xf>
    <xf numFmtId="4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indent="1"/>
    </xf>
    <xf numFmtId="4" fontId="10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indent="1"/>
    </xf>
    <xf numFmtId="4" fontId="8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 indent="1"/>
    </xf>
    <xf numFmtId="4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 indent="1"/>
    </xf>
    <xf numFmtId="4" fontId="8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 indent="1"/>
    </xf>
    <xf numFmtId="4" fontId="8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left" vertical="center" indent="1"/>
    </xf>
    <xf numFmtId="4" fontId="8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11" fillId="5" borderId="2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0" fontId="13" fillId="14" borderId="5" applyAlignment="1" pivotButton="0" quotePrefix="0" xfId="0">
      <alignment vertical="top" wrapText="1"/>
    </xf>
    <xf numFmtId="0" fontId="13" fillId="15" borderId="5" applyAlignment="1" pivotButton="0" quotePrefix="0" xfId="0">
      <alignment vertical="top" wrapText="1"/>
    </xf>
    <xf numFmtId="164" fontId="13" fillId="14" borderId="5" applyAlignment="1" pivotButton="0" quotePrefix="0" xfId="0">
      <alignment vertical="top" wrapText="1"/>
    </xf>
    <xf numFmtId="164" fontId="7" fillId="3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9C0006"/>
      <rgbColor rgb="FF008000"/>
      <rgbColor rgb="FF000080"/>
      <rgbColor rgb="FF7B5A00"/>
      <rgbColor rgb="FF800080"/>
      <rgbColor rgb="FF008080"/>
      <rgbColor rgb="FFFCE4D6"/>
      <rgbColor rgb="FF808080"/>
      <rgbColor rgb="FF9999FF"/>
      <rgbColor rgb="FF993366"/>
      <rgbColor rgb="FFFFFDE7"/>
      <rgbColor rgb="FFE8F4FD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EB9C"/>
      <rgbColor rgb="FFF2F2F2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155724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6" min="1" max="1"/>
    <col width="38" customWidth="1" style="36" min="2" max="2"/>
    <col width="20" customWidth="1" style="36" min="3" max="3"/>
    <col width="12" customWidth="1" style="36" min="4" max="6"/>
    <col width="22" customWidth="1" style="36" min="7" max="7"/>
  </cols>
  <sheetData>
    <row r="1" ht="21.75" customHeight="1" s="37">
      <c r="A1" s="38" t="inlineStr">
        <is>
          <t>BK ADITYA MULTISPECIALTY HOSPITAL — MASTER RATE CARD</t>
        </is>
      </c>
    </row>
    <row r="2" ht="10.5" customHeight="1" s="37">
      <c r="A2" s="39" t="inlineStr">
        <is>
          <t>All consumables, medicines, and fluids used across patient bills. MRP = patient billing rate. 🔴 Red = MRP missing — fill in manually.</t>
        </is>
      </c>
    </row>
    <row r="3" ht="15" customHeight="1" s="37">
      <c r="A3" s="40" t="inlineStr">
        <is>
          <t>SL</t>
        </is>
      </c>
      <c r="B3" s="40" t="inlineStr">
        <is>
          <t>Item Name</t>
        </is>
      </c>
      <c r="C3" s="40" t="inlineStr">
        <is>
          <t>Category</t>
        </is>
      </c>
      <c r="D3" s="40" t="inlineStr">
        <is>
          <t>MRP/Unit (₹)</t>
        </is>
      </c>
      <c r="E3" s="40" t="inlineStr">
        <is>
          <t>Cost/Unit (₹)</t>
        </is>
      </c>
      <c r="F3" s="40" t="inlineStr">
        <is>
          <t>Margin</t>
        </is>
      </c>
      <c r="G3" s="40" t="inlineStr">
        <is>
          <t>Source</t>
        </is>
      </c>
    </row>
    <row r="4" ht="12.75" customHeight="1" s="37">
      <c r="A4" s="41" t="inlineStr">
        <is>
          <t>── IV FLUID ──</t>
        </is>
      </c>
      <c r="B4" s="42" t="n"/>
      <c r="C4" s="42" t="n"/>
      <c r="D4" s="42" t="n"/>
      <c r="E4" s="42" t="n"/>
      <c r="F4" s="42" t="n"/>
      <c r="G4" s="42" t="n"/>
    </row>
    <row r="5" ht="13.5" customHeight="1" s="37">
      <c r="A5" s="43" t="n">
        <v>1</v>
      </c>
      <c r="B5" s="44" t="inlineStr">
        <is>
          <t>NS 500ml — Normal Saline</t>
        </is>
      </c>
      <c r="C5" s="44" t="inlineStr">
        <is>
          <t>IV Fluid</t>
        </is>
      </c>
      <c r="D5" s="45" t="n">
        <v>39.05</v>
      </c>
      <c r="E5" s="45" t="n">
        <v>16.67</v>
      </c>
      <c r="F5" s="43" t="inlineStr">
        <is>
          <t>57.3%</t>
        </is>
      </c>
      <c r="G5" s="44" t="inlineStr">
        <is>
          <t>SSB S000068</t>
        </is>
      </c>
    </row>
    <row r="6" ht="13.5" customHeight="1" s="37">
      <c r="A6" s="43" t="n">
        <v>2</v>
      </c>
      <c r="B6" s="44" t="inlineStr">
        <is>
          <t>NS 1000ml — Normal Saline 1L</t>
        </is>
      </c>
      <c r="C6" s="44" t="inlineStr">
        <is>
          <t>IV Fluid</t>
        </is>
      </c>
      <c r="D6" s="45" t="n">
        <v>62.24</v>
      </c>
      <c r="E6" s="45" t="n">
        <v>36.53</v>
      </c>
      <c r="F6" s="77">
        <f>(D6-E6)/D6</f>
        <v/>
      </c>
      <c r="G6" s="44" t="inlineStr">
        <is>
          <t>BP Pharma #307 / CLD #294 (KRPL brand ₹36.53)</t>
        </is>
      </c>
    </row>
    <row r="7" ht="13.5" customHeight="1" s="37">
      <c r="A7" s="43" t="n">
        <v>3</v>
      </c>
      <c r="B7" s="46" t="inlineStr">
        <is>
          <t>NS 100ml — Normal Saline 100ml</t>
        </is>
      </c>
      <c r="C7" s="46" t="inlineStr">
        <is>
          <t>IV Fluid</t>
        </is>
      </c>
      <c r="D7" s="47" t="n">
        <v>21.02</v>
      </c>
      <c r="E7" s="47" t="n">
        <v>11.1</v>
      </c>
      <c r="F7" s="78">
        <f>(D7-E7)/D7</f>
        <v/>
      </c>
      <c r="G7" s="46" t="inlineStr">
        <is>
          <t>BP Pharma #288 NS 100ML FLAT CAP</t>
        </is>
      </c>
    </row>
    <row r="8" ht="13.5" customHeight="1" s="37">
      <c r="A8" s="43" t="n">
        <v>4</v>
      </c>
      <c r="B8" s="44" t="inlineStr">
        <is>
          <t>RL 500ml — Ringer's Lactate</t>
        </is>
      </c>
      <c r="C8" s="44" t="inlineStr">
        <is>
          <t>IV Fluid</t>
        </is>
      </c>
      <c r="D8" s="45" t="n">
        <v>60.35</v>
      </c>
      <c r="E8" s="45" t="n">
        <v>23.8</v>
      </c>
      <c r="F8" s="77">
        <f>(D8-E8)/D8</f>
        <v/>
      </c>
      <c r="G8" s="44" t="inlineStr">
        <is>
          <t>BP Pharma #307 RL 500ML FLAT CAP</t>
        </is>
      </c>
    </row>
    <row r="9" ht="13.5" customHeight="1" s="37">
      <c r="A9" s="43" t="n">
        <v>5</v>
      </c>
      <c r="B9" s="44" t="inlineStr">
        <is>
          <t>DNS 500ml — Dextrose Normal Saline</t>
        </is>
      </c>
      <c r="C9" s="44" t="inlineStr">
        <is>
          <t>IV Fluid</t>
        </is>
      </c>
      <c r="D9" s="45" t="n">
        <v>40.81</v>
      </c>
      <c r="E9" s="45" t="n">
        <v>22.1</v>
      </c>
      <c r="F9" s="43" t="inlineStr">
        <is>
          <t>45.8%</t>
        </is>
      </c>
      <c r="G9" s="44" t="inlineStr">
        <is>
          <t>BP Pharma #307 DNS 500ML FLAT CAP</t>
        </is>
      </c>
    </row>
    <row r="10" ht="13.5" customHeight="1" s="37">
      <c r="A10" s="43" t="n">
        <v>6</v>
      </c>
      <c r="B10" s="46" t="inlineStr">
        <is>
          <t>D5 500ml — Dextrose 5%</t>
        </is>
      </c>
      <c r="C10" s="46" t="inlineStr">
        <is>
          <t>IV Fluid</t>
        </is>
      </c>
      <c r="D10" s="47" t="n">
        <v>40.12</v>
      </c>
      <c r="E10" s="47" t="n">
        <v>17.14</v>
      </c>
      <c r="F10" s="48" t="inlineStr">
        <is>
          <t>57.3%</t>
        </is>
      </c>
      <c r="G10" s="46" t="inlineStr">
        <is>
          <t>SSB S000197</t>
        </is>
      </c>
    </row>
    <row r="11" ht="12.75" customHeight="1" s="37">
      <c r="A11" s="41" t="inlineStr">
        <is>
          <t>── INJECTION — ANAESTHESIA ──</t>
        </is>
      </c>
      <c r="B11" s="42" t="n"/>
      <c r="C11" s="42" t="n"/>
      <c r="D11" s="42" t="n"/>
      <c r="E11" s="42" t="n"/>
      <c r="F11" s="42" t="n"/>
      <c r="G11" s="42" t="n"/>
    </row>
    <row r="12" ht="13.5" customHeight="1" s="37">
      <c r="A12" s="49" t="n">
        <v>7</v>
      </c>
      <c r="B12" s="50" t="inlineStr">
        <is>
          <t>Inj. Anawin Heavy 0.75%/4ml (Bupivacaine Heavy)</t>
        </is>
      </c>
      <c r="C12" s="50" t="inlineStr">
        <is>
          <t>Injection — Anaesthesia</t>
        </is>
      </c>
      <c r="D12" s="51" t="n">
        <v>31.47</v>
      </c>
      <c r="E12" s="51" t="n">
        <v>24.76</v>
      </c>
      <c r="F12" s="49" t="inlineStr">
        <is>
          <t>21.3%</t>
        </is>
      </c>
      <c r="G12" s="50" t="inlineStr">
        <is>
          <t>SSB S000092</t>
        </is>
      </c>
    </row>
    <row r="13" ht="13.5" customHeight="1" s="37">
      <c r="A13" s="49" t="n">
        <v>8</v>
      </c>
      <c r="B13" s="46" t="inlineStr">
        <is>
          <t>Inj. Anawin 0.25% / Sensoricaine 5%/25%</t>
        </is>
      </c>
      <c r="C13" s="46" t="inlineStr">
        <is>
          <t>Injection — Anaesthesia</t>
        </is>
      </c>
      <c r="D13" s="47" t="n">
        <v>63.1</v>
      </c>
      <c r="E13" s="47" t="inlineStr">
        <is>
          <t>⚠ FILL</t>
        </is>
      </c>
      <c r="F13" s="48" t="inlineStr">
        <is>
          <t>—</t>
        </is>
      </c>
      <c r="G13" s="46" t="inlineStr">
        <is>
          <t>Stock OT: ANAWIN 0.25% 20ML</t>
        </is>
      </c>
    </row>
    <row r="14" ht="13.5" customHeight="1" s="37">
      <c r="A14" s="49" t="n">
        <v>9</v>
      </c>
      <c r="B14" s="50" t="inlineStr">
        <is>
          <t>Inj. Midazolam 5ml (Mezolam)</t>
        </is>
      </c>
      <c r="C14" s="50" t="inlineStr">
        <is>
          <t>Injection — Anaesthesia</t>
        </is>
      </c>
      <c r="D14" s="51" t="n">
        <v>31.03</v>
      </c>
      <c r="E14" s="51" t="n">
        <v>23.81</v>
      </c>
      <c r="F14" s="49" t="inlineStr">
        <is>
          <t>23.3%</t>
        </is>
      </c>
      <c r="G14" s="50" t="inlineStr">
        <is>
          <t>SSB S000092</t>
        </is>
      </c>
    </row>
    <row r="15" ht="13.5" customHeight="1" s="37">
      <c r="A15" s="49" t="n">
        <v>10</v>
      </c>
      <c r="B15" s="50" t="inlineStr">
        <is>
          <t>Inj. Glycopyrrolate (Pyrolate)</t>
        </is>
      </c>
      <c r="C15" s="50" t="inlineStr">
        <is>
          <t>Injection — Anaesthesia</t>
        </is>
      </c>
      <c r="D15" s="51" t="n">
        <v>15.37</v>
      </c>
      <c r="E15" s="51" t="n">
        <v>11.24</v>
      </c>
      <c r="F15" s="49" t="inlineStr">
        <is>
          <t>26.9%</t>
        </is>
      </c>
      <c r="G15" s="50" t="inlineStr">
        <is>
          <t>SSB S000092</t>
        </is>
      </c>
    </row>
    <row r="16" ht="13.5" customHeight="1" s="37">
      <c r="A16" s="49" t="n">
        <v>11</v>
      </c>
      <c r="B16" s="50" t="inlineStr">
        <is>
          <t>Inj. Atropine 1ml</t>
        </is>
      </c>
      <c r="C16" s="50" t="inlineStr">
        <is>
          <t>Injection — Anaesthesia</t>
        </is>
      </c>
      <c r="D16" s="51" t="n">
        <v>7.3</v>
      </c>
      <c r="E16" s="51" t="n">
        <v>5.71</v>
      </c>
      <c r="F16" s="49" t="inlineStr">
        <is>
          <t>21.8%</t>
        </is>
      </c>
      <c r="G16" s="50" t="inlineStr">
        <is>
          <t>SSB S000068</t>
        </is>
      </c>
    </row>
    <row r="17" ht="13.5" customHeight="1" s="37">
      <c r="A17" s="49" t="n">
        <v>12</v>
      </c>
      <c r="B17" s="52" t="inlineStr">
        <is>
          <t>Inj. Ketamine (Ketomin/Tanmin)</t>
        </is>
      </c>
      <c r="C17" s="52" t="inlineStr">
        <is>
          <t>Injection — Anaesthesia</t>
        </is>
      </c>
      <c r="D17" s="53" t="n">
        <v>200</v>
      </c>
      <c r="E17" s="53" t="n">
        <v>140</v>
      </c>
      <c r="F17" s="49" t="inlineStr">
        <is>
          <t>30.0%</t>
        </is>
      </c>
      <c r="G17" s="52" t="inlineStr">
        <is>
          <t>⚠ Est. Cash memo</t>
        </is>
      </c>
    </row>
    <row r="18" ht="13.5" customHeight="1" s="37">
      <c r="A18" s="49" t="n">
        <v>13</v>
      </c>
      <c r="B18" s="52" t="inlineStr">
        <is>
          <t>Inj. Propofol 10ml</t>
        </is>
      </c>
      <c r="C18" s="52" t="inlineStr">
        <is>
          <t>Injection — Anaesthesia</t>
        </is>
      </c>
      <c r="D18" s="53" t="n">
        <v>72.2</v>
      </c>
      <c r="E18" s="53" t="n">
        <v>50.54</v>
      </c>
      <c r="F18" s="49" t="inlineStr">
        <is>
          <t>30.0%</t>
        </is>
      </c>
      <c r="G18" s="52" t="inlineStr">
        <is>
          <t>⚠ Est. Market rate</t>
        </is>
      </c>
    </row>
    <row r="19" ht="13.5" customHeight="1" s="37">
      <c r="A19" s="49" t="n">
        <v>14</v>
      </c>
      <c r="B19" s="50" t="inlineStr">
        <is>
          <t>Inj. Lox 2% Jelly (Lignocaine)</t>
        </is>
      </c>
      <c r="C19" s="50" t="inlineStr">
        <is>
          <t>Injection — Anaesthesia</t>
        </is>
      </c>
      <c r="D19" s="51" t="n">
        <v>34.58</v>
      </c>
      <c r="E19" s="51" t="n">
        <v>27</v>
      </c>
      <c r="F19" s="79">
        <f>(D19-E19)/D19</f>
        <v/>
      </c>
      <c r="G19" s="50" t="inlineStr">
        <is>
          <t>BP Pharma #307 LOX 2X JELLY</t>
        </is>
      </c>
    </row>
    <row r="20" ht="13.5" customHeight="1" s="37">
      <c r="A20" s="49" t="n">
        <v>15</v>
      </c>
      <c r="B20" s="52" t="inlineStr">
        <is>
          <t>Inj. Lox 2% + Adrenaline (Block)</t>
        </is>
      </c>
      <c r="C20" s="52" t="inlineStr">
        <is>
          <t>Injection — Anaesthesia</t>
        </is>
      </c>
      <c r="D20" s="53" t="n">
        <v>37.95</v>
      </c>
      <c r="E20" s="53" t="n">
        <v>27</v>
      </c>
      <c r="F20" s="49" t="inlineStr">
        <is>
          <t>28.9%</t>
        </is>
      </c>
      <c r="G20" s="52" t="inlineStr">
        <is>
          <t>⚠ Est. Lox proxy</t>
        </is>
      </c>
    </row>
    <row r="21" ht="12.75" customHeight="1" s="37">
      <c r="A21" s="41" t="inlineStr">
        <is>
          <t>── INJECTION — ANTIBIOTIC ──</t>
        </is>
      </c>
      <c r="B21" s="42" t="n"/>
      <c r="C21" s="42" t="n"/>
      <c r="D21" s="42" t="n"/>
      <c r="E21" s="42" t="n"/>
      <c r="F21" s="42" t="n"/>
      <c r="G21" s="42" t="n"/>
    </row>
    <row r="22" ht="13.5" customHeight="1" s="37">
      <c r="A22" s="54" t="n">
        <v>16</v>
      </c>
      <c r="B22" s="55" t="inlineStr">
        <is>
          <t>Inj. Xone/Monocef 1g (Ceftriaxone)</t>
        </is>
      </c>
      <c r="C22" s="55" t="inlineStr">
        <is>
          <t>Injection — Antibiotic</t>
        </is>
      </c>
      <c r="D22" s="56" t="n">
        <v>66.64</v>
      </c>
      <c r="E22" s="56" t="n">
        <v>25.71</v>
      </c>
      <c r="F22" s="54" t="inlineStr">
        <is>
          <t>61.4%</t>
        </is>
      </c>
      <c r="G22" s="55" t="inlineStr">
        <is>
          <t>SSB S000068</t>
        </is>
      </c>
    </row>
    <row r="23" ht="13.5" customHeight="1" s="37">
      <c r="A23" s="54" t="n">
        <v>17</v>
      </c>
      <c r="B23" s="55" t="inlineStr">
        <is>
          <t>Inj. Pipzo/Pilzo 4.5g (Pip-Taz)</t>
        </is>
      </c>
      <c r="C23" s="55" t="inlineStr">
        <is>
          <t>Injection — Antibiotic</t>
        </is>
      </c>
      <c r="D23" s="56" t="n">
        <v>326.22</v>
      </c>
      <c r="E23" s="56" t="n">
        <v>95.23999999999999</v>
      </c>
      <c r="F23" s="54" t="inlineStr">
        <is>
          <t>70.8%</t>
        </is>
      </c>
      <c r="G23" s="55" t="inlineStr">
        <is>
          <t>SSB S000069</t>
        </is>
      </c>
    </row>
    <row r="24" ht="13.5" customHeight="1" s="37">
      <c r="A24" s="54" t="n">
        <v>18</v>
      </c>
      <c r="B24" s="55" t="inlineStr">
        <is>
          <t>Inj. MEM (Meropenem)</t>
        </is>
      </c>
      <c r="C24" s="55" t="inlineStr">
        <is>
          <t>Injection — Antibiotic</t>
        </is>
      </c>
      <c r="D24" s="56" t="n">
        <v>15.9</v>
      </c>
      <c r="E24" s="56" t="n">
        <v>11.71</v>
      </c>
      <c r="F24" s="54" t="inlineStr">
        <is>
          <t>26.4%</t>
        </is>
      </c>
      <c r="G24" s="55" t="inlineStr">
        <is>
          <t>SSB S000068</t>
        </is>
      </c>
    </row>
    <row r="25" ht="13.5" customHeight="1" s="37">
      <c r="A25" s="54" t="n">
        <v>19</v>
      </c>
      <c r="B25" s="46" t="inlineStr">
        <is>
          <t>Inj. Gentamicin</t>
        </is>
      </c>
      <c r="C25" s="46" t="inlineStr">
        <is>
          <t>Injection — Antibiotic</t>
        </is>
      </c>
      <c r="D25" s="47" t="n">
        <v>11.4</v>
      </c>
      <c r="E25" s="47" t="n">
        <v>5.87</v>
      </c>
      <c r="F25" s="78">
        <f>(D25-E25)/D25</f>
        <v/>
      </c>
      <c r="G25" s="46" t="inlineStr">
        <is>
          <t>SSB S000135</t>
        </is>
      </c>
    </row>
    <row r="26" ht="13.5" customHeight="1" s="37">
      <c r="A26" s="54" t="n">
        <v>20</v>
      </c>
      <c r="B26" s="55" t="inlineStr">
        <is>
          <t>Inj. Metrogyl 100ml (Metronidazole IV)</t>
        </is>
      </c>
      <c r="C26" s="55" t="inlineStr">
        <is>
          <t>Injection — Antibiotic</t>
        </is>
      </c>
      <c r="D26" s="56" t="n">
        <v>22.05</v>
      </c>
      <c r="E26" s="56" t="n">
        <v>16.19</v>
      </c>
      <c r="F26" s="54" t="inlineStr">
        <is>
          <t>26.6%</t>
        </is>
      </c>
      <c r="G26" s="55" t="inlineStr">
        <is>
          <t>SSB S000068</t>
        </is>
      </c>
    </row>
    <row r="27" ht="13.5" customHeight="1" s="37">
      <c r="A27" s="54" t="n">
        <v>21</v>
      </c>
      <c r="B27" s="46" t="inlineStr">
        <is>
          <t>Inj. Cetil (Cefuroxime Axetil)</t>
        </is>
      </c>
      <c r="C27" s="46" t="inlineStr">
        <is>
          <t>Injection — Antibiotic</t>
        </is>
      </c>
      <c r="D27" s="47" t="n">
        <v>346.9</v>
      </c>
      <c r="E27" s="47" t="n">
        <v>90</v>
      </c>
      <c r="F27" s="78">
        <f>(D27-E27)/D27</f>
        <v/>
      </c>
      <c r="G27" s="46" t="inlineStr">
        <is>
          <t>Stock file</t>
        </is>
      </c>
    </row>
    <row r="28" ht="12.75" customHeight="1" s="37">
      <c r="A28" s="41" t="inlineStr">
        <is>
          <t>── INJECTION — ANALGESIC ──</t>
        </is>
      </c>
      <c r="B28" s="42" t="n"/>
      <c r="C28" s="42" t="n"/>
      <c r="D28" s="42" t="n"/>
      <c r="E28" s="42" t="n"/>
      <c r="F28" s="42" t="n"/>
      <c r="G28" s="42" t="n"/>
    </row>
    <row r="29" ht="13.5" customHeight="1" s="37">
      <c r="A29" s="57" t="n">
        <v>22</v>
      </c>
      <c r="B29" s="52" t="inlineStr">
        <is>
          <t>Inj. Dynapar/Justin AQ (Diclofenac AQ)</t>
        </is>
      </c>
      <c r="C29" s="52" t="inlineStr">
        <is>
          <t>Injection — Analgesic</t>
        </is>
      </c>
      <c r="D29" s="53" t="n">
        <v>23.8</v>
      </c>
      <c r="E29" s="53" t="n">
        <v>8.57</v>
      </c>
      <c r="F29" s="57" t="inlineStr">
        <is>
          <t>64.0%</t>
        </is>
      </c>
      <c r="G29" s="52" t="inlineStr">
        <is>
          <t>⚠ Est. Justin AQ proxy</t>
        </is>
      </c>
    </row>
    <row r="30" ht="13.5" customHeight="1" s="37">
      <c r="A30" s="57" t="n">
        <v>23</v>
      </c>
      <c r="B30" s="52" t="inlineStr">
        <is>
          <t>Inj. Jonac 100mg (Diclofenac Sodium)</t>
        </is>
      </c>
      <c r="C30" s="52" t="inlineStr">
        <is>
          <t>Injection — Analgesic</t>
        </is>
      </c>
      <c r="D30" s="53" t="n">
        <v>40</v>
      </c>
      <c r="E30" s="58" t="inlineStr">
        <is>
          <t>⚠ FILL</t>
        </is>
      </c>
      <c r="F30" s="59" t="inlineStr">
        <is>
          <t>—</t>
        </is>
      </c>
      <c r="G30" s="52" t="inlineStr">
        <is>
          <t>Est. market — Diclofenac Sodium 100mg (Jonac)</t>
        </is>
      </c>
    </row>
    <row r="31" ht="13.5" customHeight="1" s="37">
      <c r="A31" s="57" t="n">
        <v>24</v>
      </c>
      <c r="B31" s="52" t="inlineStr">
        <is>
          <t>Inj. Fortwin/Pentazocine 30mg</t>
        </is>
      </c>
      <c r="C31" s="52" t="inlineStr">
        <is>
          <t>Injection — Analgesic</t>
        </is>
      </c>
      <c r="D31" s="53" t="n">
        <v>70</v>
      </c>
      <c r="E31" s="53" t="n">
        <v>49</v>
      </c>
      <c r="F31" s="57" t="inlineStr">
        <is>
          <t>30.0%</t>
        </is>
      </c>
      <c r="G31" s="52" t="inlineStr">
        <is>
          <t>⚠ Est. Market rate</t>
        </is>
      </c>
    </row>
    <row r="32" ht="13.5" customHeight="1" s="37">
      <c r="A32" s="57" t="n">
        <v>25</v>
      </c>
      <c r="B32" s="46" t="inlineStr">
        <is>
          <t>Inj. Tramadol 50mg</t>
        </is>
      </c>
      <c r="C32" s="46" t="inlineStr">
        <is>
          <t>Injection — Analgesic</t>
        </is>
      </c>
      <c r="D32" s="47" t="n">
        <v>12.56</v>
      </c>
      <c r="E32" s="47" t="n">
        <v>4.76</v>
      </c>
      <c r="F32" s="48" t="inlineStr">
        <is>
          <t>62.1%</t>
        </is>
      </c>
      <c r="G32" s="46" t="inlineStr">
        <is>
          <t>SSB S000135</t>
        </is>
      </c>
    </row>
    <row r="33" ht="13.5" customHeight="1" s="37">
      <c r="A33" s="57" t="n">
        <v>26</v>
      </c>
      <c r="B33" s="60" t="inlineStr">
        <is>
          <t>Inj. K-Nat (Ketorolac)</t>
        </is>
      </c>
      <c r="C33" s="60" t="inlineStr">
        <is>
          <t>Injection — Analgesic</t>
        </is>
      </c>
      <c r="D33" s="61" t="n">
        <v>54</v>
      </c>
      <c r="E33" s="61" t="n">
        <v>38.1</v>
      </c>
      <c r="F33" s="57" t="inlineStr">
        <is>
          <t>29.4%</t>
        </is>
      </c>
      <c r="G33" s="60" t="inlineStr">
        <is>
          <t>SSB S000068</t>
        </is>
      </c>
    </row>
    <row r="34" ht="13.5" customHeight="1" s="37">
      <c r="A34" s="57" t="n">
        <v>27</v>
      </c>
      <c r="B34" s="46" t="inlineStr">
        <is>
          <t>Inj. PCM 100ml (Paracetamol IV)</t>
        </is>
      </c>
      <c r="C34" s="46" t="inlineStr">
        <is>
          <t>Injection — Analgesic</t>
        </is>
      </c>
      <c r="D34" s="47" t="n">
        <v>591.3</v>
      </c>
      <c r="E34" s="47" t="n">
        <v>33.33</v>
      </c>
      <c r="F34" s="48" t="inlineStr">
        <is>
          <t>94.4%</t>
        </is>
      </c>
      <c r="G34" s="46" t="inlineStr">
        <is>
          <t>SSB S000399</t>
        </is>
      </c>
    </row>
    <row r="35" ht="13.5" customHeight="1" s="37">
      <c r="A35" s="57" t="n">
        <v>28</v>
      </c>
      <c r="B35" s="60" t="inlineStr">
        <is>
          <t>Inj. Neomol IV 10ml (PCM IV)</t>
        </is>
      </c>
      <c r="C35" s="60" t="inlineStr">
        <is>
          <t>Injection — Analgesic</t>
        </is>
      </c>
      <c r="D35" s="61" t="n">
        <v>42.8</v>
      </c>
      <c r="E35" s="61" t="n">
        <v>17.14</v>
      </c>
      <c r="F35" s="57" t="inlineStr">
        <is>
          <t>60.0%</t>
        </is>
      </c>
      <c r="G35" s="60" t="inlineStr">
        <is>
          <t>SSB S000068</t>
        </is>
      </c>
    </row>
    <row r="36" ht="12.75" customHeight="1" s="37">
      <c r="A36" s="41" t="inlineStr">
        <is>
          <t>── INJECTION — ANTIEMETIC ──</t>
        </is>
      </c>
      <c r="B36" s="42" t="n"/>
      <c r="C36" s="42" t="n"/>
      <c r="D36" s="42" t="n"/>
      <c r="E36" s="42" t="n"/>
      <c r="F36" s="42" t="n"/>
      <c r="G36" s="42" t="n"/>
    </row>
    <row r="37" ht="13.5" customHeight="1" s="37">
      <c r="A37" s="54" t="n">
        <v>29</v>
      </c>
      <c r="B37" s="55" t="inlineStr">
        <is>
          <t>Inj. Ondem/Zofer/Zofar (Ondansetron)</t>
        </is>
      </c>
      <c r="C37" s="55" t="inlineStr">
        <is>
          <t>Injection — Antiemetic</t>
        </is>
      </c>
      <c r="D37" s="56" t="n">
        <v>12.72</v>
      </c>
      <c r="E37" s="56" t="n">
        <v>10</v>
      </c>
      <c r="F37" s="80">
        <f>(D37-E37)/D37</f>
        <v/>
      </c>
      <c r="G37" s="55" t="inlineStr">
        <is>
          <t>SSB S000068</t>
        </is>
      </c>
    </row>
    <row r="38" ht="13.5" customHeight="1" s="37">
      <c r="A38" s="54" t="n">
        <v>30</v>
      </c>
      <c r="B38" s="55" t="inlineStr">
        <is>
          <t>Inj. Rantac (Ranitidine)</t>
        </is>
      </c>
      <c r="C38" s="55" t="inlineStr">
        <is>
          <t>Injection — Antiemetic</t>
        </is>
      </c>
      <c r="D38" s="56" t="n">
        <v>7.48</v>
      </c>
      <c r="E38" s="56" t="n">
        <v>4.29</v>
      </c>
      <c r="F38" s="54" t="inlineStr">
        <is>
          <t>42.6%</t>
        </is>
      </c>
      <c r="G38" s="55" t="inlineStr">
        <is>
          <t>SSB S000068</t>
        </is>
      </c>
    </row>
    <row r="39" ht="13.5" customHeight="1" s="37">
      <c r="A39" s="54" t="n">
        <v>31</v>
      </c>
      <c r="B39" s="55" t="inlineStr">
        <is>
          <t>Inj. Reglan (Metoclopramide)</t>
        </is>
      </c>
      <c r="C39" s="55" t="inlineStr">
        <is>
          <t>Injection — Antiemetic</t>
        </is>
      </c>
      <c r="D39" s="56" t="n">
        <v>17.04</v>
      </c>
      <c r="E39" s="56" t="n">
        <v>13.26</v>
      </c>
      <c r="F39" s="54" t="inlineStr">
        <is>
          <t>22.2%</t>
        </is>
      </c>
      <c r="G39" s="55" t="inlineStr">
        <is>
          <t>SSB S000068</t>
        </is>
      </c>
    </row>
    <row r="40" ht="13.5" customHeight="1" s="37">
      <c r="A40" s="54" t="n">
        <v>32</v>
      </c>
      <c r="B40" s="55" t="inlineStr">
        <is>
          <t>Inj. Zofer (Ondansetron)</t>
        </is>
      </c>
      <c r="C40" s="55" t="inlineStr">
        <is>
          <t>Injection — Antiemetic</t>
        </is>
      </c>
      <c r="D40" s="56" t="n">
        <v>13.57</v>
      </c>
      <c r="E40" s="56" t="n">
        <v>4.85</v>
      </c>
      <c r="F40" s="54" t="inlineStr">
        <is>
          <t>64.3%</t>
        </is>
      </c>
      <c r="G40" s="55" t="inlineStr">
        <is>
          <t>SSB S000068</t>
        </is>
      </c>
    </row>
    <row r="41" ht="12.75" customHeight="1" s="37">
      <c r="A41" s="41" t="inlineStr">
        <is>
          <t>── INJECTION — PPI ──</t>
        </is>
      </c>
      <c r="B41" s="42" t="n"/>
      <c r="C41" s="42" t="n"/>
      <c r="D41" s="42" t="n"/>
      <c r="E41" s="42" t="n"/>
      <c r="F41" s="42" t="n"/>
      <c r="G41" s="42" t="n"/>
    </row>
    <row r="42" ht="13.5" customHeight="1" s="37">
      <c r="A42" s="54" t="n">
        <v>33</v>
      </c>
      <c r="B42" s="55" t="inlineStr">
        <is>
          <t>Inj. Pan 40 / Pantocid (Pantoprazole)</t>
        </is>
      </c>
      <c r="C42" s="55" t="inlineStr">
        <is>
          <t>Injection — PPI</t>
        </is>
      </c>
      <c r="D42" s="56" t="n">
        <v>53.9</v>
      </c>
      <c r="E42" s="56" t="n">
        <v>18</v>
      </c>
      <c r="F42" s="80">
        <f>(D42-E42)/D42</f>
        <v/>
      </c>
      <c r="G42" s="55" t="inlineStr">
        <is>
          <t>SSB S000135</t>
        </is>
      </c>
    </row>
    <row r="43" ht="12.75" customHeight="1" s="37">
      <c r="A43" s="41" t="inlineStr">
        <is>
          <t>── INJECTION — DIURETIC ──</t>
        </is>
      </c>
      <c r="B43" s="42" t="n"/>
      <c r="C43" s="42" t="n"/>
      <c r="D43" s="42" t="n"/>
      <c r="E43" s="42" t="n"/>
      <c r="F43" s="42" t="n"/>
      <c r="G43" s="42" t="n"/>
    </row>
    <row r="44" ht="13.5" customHeight="1" s="37">
      <c r="A44" s="54" t="n">
        <v>34</v>
      </c>
      <c r="B44" s="55" t="inlineStr">
        <is>
          <t>Inj. Lasix 4ml (Furosemide)</t>
        </is>
      </c>
      <c r="C44" s="55" t="inlineStr">
        <is>
          <t>Injection — Diuretic</t>
        </is>
      </c>
      <c r="D44" s="56" t="n">
        <v>12.76</v>
      </c>
      <c r="E44" s="56" t="n">
        <v>10.21</v>
      </c>
      <c r="F44" s="54" t="inlineStr">
        <is>
          <t>20.0%</t>
        </is>
      </c>
      <c r="G44" s="55" t="inlineStr">
        <is>
          <t>SSB S000068</t>
        </is>
      </c>
    </row>
    <row r="45" ht="12.75" customHeight="1" s="37">
      <c r="A45" s="41" t="inlineStr">
        <is>
          <t>── INJECTION — OXYTOCIC ──</t>
        </is>
      </c>
      <c r="B45" s="42" t="n"/>
      <c r="C45" s="42" t="n"/>
      <c r="D45" s="42" t="n"/>
      <c r="E45" s="42" t="n"/>
      <c r="F45" s="42" t="n"/>
      <c r="G45" s="42" t="n"/>
    </row>
    <row r="46" ht="13.5" customHeight="1" s="37">
      <c r="A46" s="62" t="n">
        <v>35</v>
      </c>
      <c r="B46" s="63" t="inlineStr">
        <is>
          <t>Inj. Oxytocin/Syntocinon 1ml</t>
        </is>
      </c>
      <c r="C46" s="63" t="inlineStr">
        <is>
          <t>Injection — Oxytocic</t>
        </is>
      </c>
      <c r="D46" s="64" t="n">
        <v>19.03</v>
      </c>
      <c r="E46" s="64" t="n">
        <v>12.57</v>
      </c>
      <c r="F46" s="62" t="inlineStr">
        <is>
          <t>33.9%</t>
        </is>
      </c>
      <c r="G46" s="63" t="inlineStr">
        <is>
          <t>SSB S000068</t>
        </is>
      </c>
    </row>
    <row r="47" ht="13.5" customHeight="1" s="37">
      <c r="A47" s="62" t="n">
        <v>36</v>
      </c>
      <c r="B47" s="52" t="inlineStr">
        <is>
          <t>Inj. Carbetocin 100mcg (Pabal)</t>
        </is>
      </c>
      <c r="C47" s="52" t="inlineStr">
        <is>
          <t>Injection — Oxytocic</t>
        </is>
      </c>
      <c r="D47" s="53" t="n">
        <v>489.7</v>
      </c>
      <c r="E47" s="53" t="n">
        <v>342.79</v>
      </c>
      <c r="F47" s="62" t="inlineStr">
        <is>
          <t>30.0%</t>
        </is>
      </c>
      <c r="G47" s="52" t="inlineStr">
        <is>
          <t>⚠ Est. Market rate</t>
        </is>
      </c>
    </row>
    <row r="48" ht="13.5" customHeight="1" s="37">
      <c r="A48" s="62" t="n">
        <v>37</v>
      </c>
      <c r="B48" s="52" t="inlineStr">
        <is>
          <t>Inj. Methergine (Methylergometrine)</t>
        </is>
      </c>
      <c r="C48" s="52" t="inlineStr">
        <is>
          <t>Injection — Oxytocic</t>
        </is>
      </c>
      <c r="D48" s="53" t="n">
        <v>15</v>
      </c>
      <c r="E48" s="53" t="n">
        <v>10.5</v>
      </c>
      <c r="F48" s="62" t="inlineStr">
        <is>
          <t>30.0%</t>
        </is>
      </c>
      <c r="G48" s="52" t="inlineStr">
        <is>
          <t>⚠ Est. Market rate</t>
        </is>
      </c>
    </row>
    <row r="49" ht="13.5" customHeight="1" s="37">
      <c r="A49" s="62" t="n">
        <v>38</v>
      </c>
      <c r="B49" s="46" t="inlineStr">
        <is>
          <t>Inj. Carboprost (Hemabate)</t>
        </is>
      </c>
      <c r="C49" s="46" t="inlineStr">
        <is>
          <t>Injection — Oxytocic</t>
        </is>
      </c>
      <c r="D49" s="47" t="n">
        <v>318.5</v>
      </c>
      <c r="E49" s="47" t="inlineStr">
        <is>
          <t>⚠ FILL</t>
        </is>
      </c>
      <c r="F49" s="48" t="inlineStr">
        <is>
          <t>—</t>
        </is>
      </c>
      <c r="G49" s="46" t="inlineStr">
        <is>
          <t>Stock OT: CARBOPOST</t>
        </is>
      </c>
    </row>
    <row r="50" ht="12.75" customHeight="1" s="37">
      <c r="A50" s="41" t="inlineStr">
        <is>
          <t>── INJECTION — TOCOLYTIC ──</t>
        </is>
      </c>
      <c r="B50" s="42" t="n"/>
      <c r="C50" s="42" t="n"/>
      <c r="D50" s="42" t="n"/>
      <c r="E50" s="42" t="n"/>
      <c r="F50" s="42" t="n"/>
      <c r="G50" s="42" t="n"/>
    </row>
    <row r="51" ht="13.5" customHeight="1" s="37">
      <c r="A51" s="62" t="n">
        <v>39</v>
      </c>
      <c r="B51" s="63" t="inlineStr">
        <is>
          <t>Inj. Termin/Ternin (Terbutaline)</t>
        </is>
      </c>
      <c r="C51" s="63" t="inlineStr">
        <is>
          <t>Injection — Tocolytic</t>
        </is>
      </c>
      <c r="D51" s="64" t="n">
        <v>390.4</v>
      </c>
      <c r="E51" s="64" t="n">
        <v>304.76</v>
      </c>
      <c r="F51" s="62" t="inlineStr">
        <is>
          <t>21.9%</t>
        </is>
      </c>
      <c r="G51" s="63" t="inlineStr">
        <is>
          <t>SSB S000092</t>
        </is>
      </c>
    </row>
    <row r="52" ht="12.75" customHeight="1" s="37">
      <c r="A52" s="41" t="inlineStr">
        <is>
          <t>── INJECTION — HAEMOSTATIC ──</t>
        </is>
      </c>
      <c r="B52" s="42" t="n"/>
      <c r="C52" s="42" t="n"/>
      <c r="D52" s="42" t="n"/>
      <c r="E52" s="42" t="n"/>
      <c r="F52" s="42" t="n"/>
      <c r="G52" s="42" t="n"/>
    </row>
    <row r="53" ht="13.5" customHeight="1" s="37">
      <c r="A53" s="62" t="n">
        <v>40</v>
      </c>
      <c r="B53" s="63" t="inlineStr">
        <is>
          <t>Inj. Pause 500mg (Tranexamic Acid)</t>
        </is>
      </c>
      <c r="C53" s="63" t="inlineStr">
        <is>
          <t>Injection — Haemostatic</t>
        </is>
      </c>
      <c r="D53" s="64" t="n">
        <v>71.97</v>
      </c>
      <c r="E53" s="64" t="n">
        <v>47.62</v>
      </c>
      <c r="F53" s="62" t="inlineStr">
        <is>
          <t>33.8%</t>
        </is>
      </c>
      <c r="G53" s="63" t="inlineStr">
        <is>
          <t>SSB S000092</t>
        </is>
      </c>
    </row>
    <row r="54" ht="12.75" customHeight="1" s="37">
      <c r="A54" s="41" t="inlineStr">
        <is>
          <t>── ORAL — OXYTOCIC ──</t>
        </is>
      </c>
      <c r="B54" s="42" t="n"/>
      <c r="C54" s="42" t="n"/>
      <c r="D54" s="42" t="n"/>
      <c r="E54" s="42" t="n"/>
      <c r="F54" s="42" t="n"/>
      <c r="G54" s="42" t="n"/>
    </row>
    <row r="55" ht="13.5" customHeight="1" s="37">
      <c r="A55" s="62" t="n">
        <v>41</v>
      </c>
      <c r="B55" s="63" t="inlineStr">
        <is>
          <t>Misoprost/Misobost 200mcg Tab</t>
        </is>
      </c>
      <c r="C55" s="63" t="inlineStr">
        <is>
          <t>Oral — Oxytocic</t>
        </is>
      </c>
      <c r="D55" s="64" t="n">
        <v>79.5</v>
      </c>
      <c r="E55" s="64" t="n">
        <v>59.53</v>
      </c>
      <c r="F55" s="62" t="inlineStr">
        <is>
          <t>25.1%</t>
        </is>
      </c>
      <c r="G55" s="63" t="inlineStr">
        <is>
          <t>SSB S000197</t>
        </is>
      </c>
    </row>
    <row r="56" ht="12.75" customHeight="1" s="37">
      <c r="A56" s="41" t="inlineStr">
        <is>
          <t>── INJECTION — VACCINE ──</t>
        </is>
      </c>
      <c r="B56" s="42" t="n"/>
      <c r="C56" s="42" t="n"/>
      <c r="D56" s="42" t="n"/>
      <c r="E56" s="42" t="n"/>
      <c r="F56" s="42" t="n"/>
      <c r="G56" s="42" t="n"/>
    </row>
    <row r="57" ht="13.5" customHeight="1" s="37">
      <c r="A57" s="54" t="n">
        <v>42</v>
      </c>
      <c r="B57" s="52" t="inlineStr">
        <is>
          <t>Inj. T-Tet (Tetanus Toxoid)</t>
        </is>
      </c>
      <c r="C57" s="52" t="inlineStr">
        <is>
          <t>Injection — Vaccine</t>
        </is>
      </c>
      <c r="D57" s="53" t="n">
        <v>27.27</v>
      </c>
      <c r="E57" s="58" t="inlineStr">
        <is>
          <t>⚠ FILL</t>
        </is>
      </c>
      <c r="F57" s="59" t="inlineStr">
        <is>
          <t>—</t>
        </is>
      </c>
      <c r="G57" s="52" t="inlineStr">
        <is>
          <t>Stock Fridge: TETANUS VACCINE ₹27.27</t>
        </is>
      </c>
    </row>
    <row r="58" ht="12.75" customHeight="1" s="37">
      <c r="A58" s="41" t="inlineStr">
        <is>
          <t>── INJECTION — EMERGENCY ──</t>
        </is>
      </c>
      <c r="B58" s="42" t="n"/>
      <c r="C58" s="42" t="n"/>
      <c r="D58" s="42" t="n"/>
      <c r="E58" s="42" t="n"/>
      <c r="F58" s="42" t="n"/>
      <c r="G58" s="42" t="n"/>
    </row>
    <row r="59" ht="13.5" customHeight="1" s="37">
      <c r="A59" s="48" t="n">
        <v>43</v>
      </c>
      <c r="B59" s="46" t="inlineStr">
        <is>
          <t>Inj. Adrenaline</t>
        </is>
      </c>
      <c r="C59" s="46" t="inlineStr">
        <is>
          <t>Injection — Emergency</t>
        </is>
      </c>
      <c r="D59" s="47" t="n">
        <v>13.4</v>
      </c>
      <c r="E59" s="47" t="inlineStr">
        <is>
          <t>⚠ FILL</t>
        </is>
      </c>
      <c r="F59" s="48" t="inlineStr">
        <is>
          <t>—</t>
        </is>
      </c>
      <c r="G59" s="46" t="inlineStr">
        <is>
          <t>Stock OT/Ward: ADRENALIN 1ML ₹13.40</t>
        </is>
      </c>
    </row>
    <row r="60" ht="12.75" customHeight="1" s="37">
      <c r="A60" s="41" t="inlineStr">
        <is>
          <t>── CONSUMABLE ──</t>
        </is>
      </c>
      <c r="B60" s="42" t="n"/>
      <c r="C60" s="42" t="n"/>
      <c r="D60" s="42" t="n"/>
      <c r="E60" s="42" t="n"/>
      <c r="F60" s="42" t="n"/>
      <c r="G60" s="42" t="n"/>
    </row>
    <row r="61" ht="13.5" customHeight="1" s="37">
      <c r="A61" s="65" t="n">
        <v>44</v>
      </c>
      <c r="B61" s="66" t="inlineStr">
        <is>
          <t>IV Set / Sangoflex</t>
        </is>
      </c>
      <c r="C61" s="66" t="inlineStr">
        <is>
          <t>Consumable</t>
        </is>
      </c>
      <c r="D61" s="67" t="n">
        <v>221</v>
      </c>
      <c r="E61" s="67" t="n">
        <v>14.06</v>
      </c>
      <c r="F61" s="81">
        <f>(D61-E61)/D61</f>
        <v/>
      </c>
      <c r="G61" s="66" t="inlineStr">
        <is>
          <t>BP Pharma #307 / CLD #328 IV SET (HALEMED)</t>
        </is>
      </c>
    </row>
    <row r="62" ht="13.5" customHeight="1" s="37">
      <c r="A62" s="65" t="n">
        <v>45</v>
      </c>
      <c r="B62" s="66" t="inlineStr">
        <is>
          <t>IV Cannula 20G / Venflon 20G</t>
        </is>
      </c>
      <c r="C62" s="66" t="inlineStr">
        <is>
          <t>Consumable</t>
        </is>
      </c>
      <c r="D62" s="67" t="n">
        <v>201</v>
      </c>
      <c r="E62" s="67" t="n">
        <v>9.5</v>
      </c>
      <c r="F62" s="65" t="inlineStr">
        <is>
          <t>95.3%</t>
        </is>
      </c>
      <c r="G62" s="66" t="inlineStr">
        <is>
          <t>BP Pharma #307 INTRA-CATH 20 / CLD #328</t>
        </is>
      </c>
    </row>
    <row r="63" ht="13.5" customHeight="1" s="37">
      <c r="A63" s="65" t="n">
        <v>46</v>
      </c>
      <c r="B63" s="66" t="inlineStr">
        <is>
          <t>IV Cannula 22G</t>
        </is>
      </c>
      <c r="C63" s="66" t="inlineStr">
        <is>
          <t>Consumable</t>
        </is>
      </c>
      <c r="D63" s="67" t="n">
        <v>202.55</v>
      </c>
      <c r="E63" s="67" t="n">
        <v>9.5</v>
      </c>
      <c r="F63" s="65" t="inlineStr">
        <is>
          <t>95.3%</t>
        </is>
      </c>
      <c r="G63" s="66" t="inlineStr">
        <is>
          <t>CLD #328 INTRA-CATH 2 (₹9.50); CLD #329 batch ₹14.50</t>
        </is>
      </c>
    </row>
    <row r="64" ht="13.5" customHeight="1" s="37">
      <c r="A64" s="65" t="n">
        <v>47</v>
      </c>
      <c r="B64" s="66" t="inlineStr">
        <is>
          <t>IV Cannula 18G / Venflon 18G</t>
        </is>
      </c>
      <c r="C64" s="66" t="inlineStr">
        <is>
          <t>Consumable</t>
        </is>
      </c>
      <c r="D64" s="67" t="n">
        <v>321</v>
      </c>
      <c r="E64" s="67" t="n">
        <v>55</v>
      </c>
      <c r="F64" s="65" t="inlineStr">
        <is>
          <t>82.9%</t>
        </is>
      </c>
      <c r="G64" s="66" t="inlineStr">
        <is>
          <t>Vivek F-684</t>
        </is>
      </c>
    </row>
    <row r="65" ht="13.5" customHeight="1" s="37">
      <c r="A65" s="65" t="n">
        <v>48</v>
      </c>
      <c r="B65" s="52" t="inlineStr">
        <is>
          <t>Easyfix (Adhesive Film Dressing)</t>
        </is>
      </c>
      <c r="C65" s="52" t="inlineStr">
        <is>
          <t>Consumable</t>
        </is>
      </c>
      <c r="D65" s="53" t="n">
        <v>900</v>
      </c>
      <c r="E65" s="53" t="n">
        <v>5.98</v>
      </c>
      <c r="F65" s="65" t="inlineStr">
        <is>
          <t>—</t>
        </is>
      </c>
      <c r="G65" s="52" t="inlineStr">
        <is>
          <t>CLD Surgical #266 (50pcs × ₹5.98); MRP ⚠FILL</t>
        </is>
      </c>
    </row>
    <row r="66" ht="13.5" customHeight="1" s="37">
      <c r="A66" s="65" t="n">
        <v>49</v>
      </c>
      <c r="B66" s="66" t="inlineStr">
        <is>
          <t>Uro Bag</t>
        </is>
      </c>
      <c r="C66" s="66" t="inlineStr">
        <is>
          <t>Consumable</t>
        </is>
      </c>
      <c r="D66" s="67" t="n">
        <v>361</v>
      </c>
      <c r="E66" s="67" t="n">
        <v>40.5</v>
      </c>
      <c r="F66" s="81">
        <f>(D66-E66)/D66</f>
        <v/>
      </c>
      <c r="G66" s="66" t="inlineStr">
        <is>
          <t>CLD #270 UROBAG ROM (update from SSB S000069)</t>
        </is>
      </c>
    </row>
    <row r="67" ht="13.5" customHeight="1" s="37">
      <c r="A67" s="65" t="n">
        <v>50</v>
      </c>
      <c r="B67" s="66" t="inlineStr">
        <is>
          <t>Foley's Catheter 16 No.</t>
        </is>
      </c>
      <c r="C67" s="66" t="inlineStr">
        <is>
          <t>Consumable</t>
        </is>
      </c>
      <c r="D67" s="67" t="n">
        <v>174</v>
      </c>
      <c r="E67" s="67" t="n">
        <v>126.5</v>
      </c>
      <c r="F67" s="65" t="inlineStr">
        <is>
          <t>30.5%</t>
        </is>
      </c>
      <c r="G67" s="66" t="inlineStr">
        <is>
          <t>BP Pharma #248 FOLEY CATH 2-WAY 16</t>
        </is>
      </c>
    </row>
    <row r="68" ht="13.5" customHeight="1" s="37">
      <c r="A68" s="65" t="n">
        <v>51</v>
      </c>
      <c r="B68" s="52" t="inlineStr">
        <is>
          <t>Foley's Catheter 18 No.</t>
        </is>
      </c>
      <c r="C68" s="52" t="inlineStr">
        <is>
          <t>Consumable</t>
        </is>
      </c>
      <c r="D68" s="53" t="n">
        <v>174</v>
      </c>
      <c r="E68" s="53" t="n">
        <v>128.45</v>
      </c>
      <c r="F68" s="65" t="inlineStr">
        <is>
          <t>26.2%</t>
        </is>
      </c>
      <c r="G68" s="52" t="inlineStr">
        <is>
          <t>BP Pharma #307 FOLEYCATH 2WAY 18N</t>
        </is>
      </c>
    </row>
    <row r="69" ht="13.5" customHeight="1" s="37">
      <c r="A69" s="65" t="n">
        <v>52</v>
      </c>
      <c r="B69" s="52" t="inlineStr">
        <is>
          <t>Foley's Catheter 20 No.</t>
        </is>
      </c>
      <c r="C69" s="52" t="inlineStr">
        <is>
          <t>Consumable</t>
        </is>
      </c>
      <c r="D69" s="53" t="n">
        <v>192.5</v>
      </c>
      <c r="E69" s="53" t="n">
        <v>120.95</v>
      </c>
      <c r="F69" s="65" t="inlineStr">
        <is>
          <t>37.2%</t>
        </is>
      </c>
      <c r="G69" s="52" t="inlineStr">
        <is>
          <t>SSB/Vivek</t>
        </is>
      </c>
    </row>
    <row r="70" ht="13.5" customHeight="1" s="37">
      <c r="A70" s="65" t="n">
        <v>53</v>
      </c>
      <c r="B70" s="52" t="inlineStr">
        <is>
          <t>Foley's Catheter 24 No.</t>
        </is>
      </c>
      <c r="C70" s="52" t="inlineStr">
        <is>
          <t>Consumable</t>
        </is>
      </c>
      <c r="D70" s="53" t="n">
        <v>192.5</v>
      </c>
      <c r="E70" s="53" t="n">
        <v>120.95</v>
      </c>
      <c r="F70" s="65" t="inlineStr">
        <is>
          <t>37.2%</t>
        </is>
      </c>
      <c r="G70" s="52" t="inlineStr">
        <is>
          <t>⚠ Est. proxy size 24</t>
        </is>
      </c>
    </row>
    <row r="71" ht="13.5" customHeight="1" s="37">
      <c r="A71" s="65" t="n">
        <v>54</v>
      </c>
      <c r="B71" s="52" t="inlineStr">
        <is>
          <t>Foley's Catheter 12 No.</t>
        </is>
      </c>
      <c r="C71" s="52" t="inlineStr">
        <is>
          <t>Consumable</t>
        </is>
      </c>
      <c r="D71" s="53" t="n">
        <v>163.13</v>
      </c>
      <c r="E71" s="53" t="n">
        <v>131.45</v>
      </c>
      <c r="F71" s="65" t="inlineStr">
        <is>
          <t>19.4%</t>
        </is>
      </c>
      <c r="G71" s="52" t="inlineStr">
        <is>
          <t>BP Pharma #340 FOLEY CATH 2WAY 12N</t>
        </is>
      </c>
    </row>
    <row r="72" ht="13.5" customHeight="1" s="37">
      <c r="A72" s="65" t="n">
        <v>55</v>
      </c>
      <c r="B72" s="66" t="inlineStr">
        <is>
          <t>Spinal Needle 25G (Spinocan)</t>
        </is>
      </c>
      <c r="C72" s="66" t="inlineStr">
        <is>
          <t>Consumable</t>
        </is>
      </c>
      <c r="D72" s="67" t="n">
        <v>153</v>
      </c>
      <c r="E72" s="67" t="n">
        <v>80.75</v>
      </c>
      <c r="F72" s="81">
        <f>(D72-E72)/D72</f>
        <v/>
      </c>
      <c r="G72" s="66" t="inlineStr">
        <is>
          <t>SSB S000068</t>
        </is>
      </c>
    </row>
    <row r="73" ht="13.5" customHeight="1" s="37">
      <c r="A73" s="65" t="n">
        <v>56</v>
      </c>
      <c r="B73" s="66" t="inlineStr">
        <is>
          <t>Syringe 10cc / 10ml</t>
        </is>
      </c>
      <c r="C73" s="66" t="inlineStr">
        <is>
          <t>Consumable</t>
        </is>
      </c>
      <c r="D73" s="67" t="n">
        <v>20</v>
      </c>
      <c r="E73" s="67" t="n">
        <v>4.55</v>
      </c>
      <c r="F73" s="81">
        <f>(D73-E73)/D73</f>
        <v/>
      </c>
      <c r="G73" s="66" t="inlineStr">
        <is>
          <t>SSB S000069</t>
        </is>
      </c>
    </row>
    <row r="74" ht="13.5" customHeight="1" s="37">
      <c r="A74" s="65" t="n">
        <v>57</v>
      </c>
      <c r="B74" s="66" t="inlineStr">
        <is>
          <t>Syringe 5cc / 5ml</t>
        </is>
      </c>
      <c r="C74" s="66" t="inlineStr">
        <is>
          <t>Consumable</t>
        </is>
      </c>
      <c r="D74" s="67" t="n">
        <v>10.23</v>
      </c>
      <c r="E74" s="67" t="n">
        <v>2.98</v>
      </c>
      <c r="F74" s="81">
        <f>(D74-E74)/D74</f>
        <v/>
      </c>
      <c r="G74" s="66" t="inlineStr">
        <is>
          <t>SSB S000069</t>
        </is>
      </c>
    </row>
    <row r="75" ht="13.5" customHeight="1" s="37">
      <c r="A75" s="65" t="n">
        <v>58</v>
      </c>
      <c r="B75" s="66" t="inlineStr">
        <is>
          <t>Syringe 2cc / 2ml</t>
        </is>
      </c>
      <c r="C75" s="66" t="inlineStr">
        <is>
          <t>Consumable</t>
        </is>
      </c>
      <c r="D75" s="67" t="n">
        <v>6.04</v>
      </c>
      <c r="E75" s="67" t="n">
        <v>1.9</v>
      </c>
      <c r="F75" s="65" t="inlineStr">
        <is>
          <t>68.5%</t>
        </is>
      </c>
      <c r="G75" s="66" t="inlineStr">
        <is>
          <t>SSB S000069</t>
        </is>
      </c>
    </row>
    <row r="76" ht="13.5" customHeight="1" s="37">
      <c r="A76" s="65" t="n">
        <v>59</v>
      </c>
      <c r="B76" s="66" t="inlineStr">
        <is>
          <t>D. Water 10ml (Sterile Water)</t>
        </is>
      </c>
      <c r="C76" s="66" t="inlineStr">
        <is>
          <t>Consumable</t>
        </is>
      </c>
      <c r="D76" s="67" t="n">
        <v>3.24</v>
      </c>
      <c r="E76" s="67" t="n">
        <v>2.51</v>
      </c>
      <c r="F76" s="65" t="inlineStr">
        <is>
          <t>22.5%</t>
        </is>
      </c>
      <c r="G76" s="66" t="inlineStr">
        <is>
          <t>Vivek F-747</t>
        </is>
      </c>
    </row>
    <row r="77" ht="13.5" customHeight="1" s="37">
      <c r="A77" s="65" t="n">
        <v>60</v>
      </c>
      <c r="B77" s="46" t="inlineStr">
        <is>
          <t>Needles 26G (Injection)</t>
        </is>
      </c>
      <c r="C77" s="46" t="inlineStr">
        <is>
          <t>Consumable</t>
        </is>
      </c>
      <c r="D77" s="47" t="n">
        <v>260</v>
      </c>
      <c r="E77" s="47" t="inlineStr">
        <is>
          <t>⚠ FILL</t>
        </is>
      </c>
      <c r="F77" s="48" t="inlineStr">
        <is>
          <t>—</t>
        </is>
      </c>
      <c r="G77" s="46" t="inlineStr">
        <is>
          <t>Stock Ward: DISPOVEIN NEEDLE 26 NO (per box ~100pcs)</t>
        </is>
      </c>
    </row>
    <row r="78" ht="13.5" customHeight="1" s="37">
      <c r="A78" s="65" t="n">
        <v>61</v>
      </c>
      <c r="B78" s="52" t="inlineStr">
        <is>
          <t>Easyfix / Adhesive Dressing</t>
        </is>
      </c>
      <c r="C78" s="52" t="inlineStr">
        <is>
          <t>Consumable</t>
        </is>
      </c>
      <c r="D78" s="53" t="n">
        <v>900</v>
      </c>
      <c r="E78" s="53" t="n">
        <v>5.98</v>
      </c>
      <c r="F78" s="65" t="inlineStr">
        <is>
          <t>—</t>
        </is>
      </c>
      <c r="G78" s="52" t="inlineStr">
        <is>
          <t>CLD Surgical #266 (50pcs × ₹5.98); MRP ⚠FILL</t>
        </is>
      </c>
    </row>
    <row r="79" ht="13.5" customHeight="1" s="37">
      <c r="A79" s="65" t="n">
        <v>62</v>
      </c>
      <c r="B79" s="46" t="inlineStr">
        <is>
          <t>Volu-P / TiCUP</t>
        </is>
      </c>
      <c r="C79" s="46" t="inlineStr">
        <is>
          <t>Consumable</t>
        </is>
      </c>
      <c r="D79" s="47" t="inlineStr">
        <is>
          <t>⚠ FILL</t>
        </is>
      </c>
      <c r="E79" s="47" t="inlineStr">
        <is>
          <t>⚠ FILL</t>
        </is>
      </c>
      <c r="F79" s="48" t="inlineStr">
        <is>
          <t>—</t>
        </is>
      </c>
      <c r="G79" s="46" t="inlineStr">
        <is>
          <t>⚠ MRP NOT FOUND — confirm item</t>
        </is>
      </c>
    </row>
    <row r="80" ht="12.75" customHeight="1" s="37">
      <c r="A80" s="41" t="inlineStr">
        <is>
          <t>── SURGICAL CONSUMABLE ──</t>
        </is>
      </c>
      <c r="B80" s="42" t="n"/>
      <c r="C80" s="42" t="n"/>
      <c r="D80" s="42" t="n"/>
      <c r="E80" s="42" t="n"/>
      <c r="F80" s="42" t="n"/>
      <c r="G80" s="42" t="n"/>
    </row>
    <row r="81" ht="13.5" customHeight="1" s="37">
      <c r="A81" s="57" t="n">
        <v>63</v>
      </c>
      <c r="B81" s="60" t="inlineStr">
        <is>
          <t>Gauze Pieces (Sterile)</t>
        </is>
      </c>
      <c r="C81" s="60" t="inlineStr">
        <is>
          <t>Surgical Consumable</t>
        </is>
      </c>
      <c r="D81" s="61" t="n">
        <v>14</v>
      </c>
      <c r="E81" s="61" t="n">
        <v>5.46</v>
      </c>
      <c r="F81" s="57" t="inlineStr">
        <is>
          <t>61.0%</t>
        </is>
      </c>
      <c r="G81" s="60" t="inlineStr">
        <is>
          <t>Vivek F-747</t>
        </is>
      </c>
    </row>
    <row r="82" ht="13.5" customHeight="1" s="37">
      <c r="A82" s="57" t="n">
        <v>64</v>
      </c>
      <c r="B82" s="52" t="inlineStr">
        <is>
          <t>OT Mop / Abd. Swab</t>
        </is>
      </c>
      <c r="C82" s="52" t="inlineStr">
        <is>
          <t>Surgical Consumable</t>
        </is>
      </c>
      <c r="D82" s="53" t="n">
        <v>165</v>
      </c>
      <c r="E82" s="53" t="n">
        <v>40.15</v>
      </c>
      <c r="F82" s="57" t="inlineStr">
        <is>
          <t>75.7%</t>
        </is>
      </c>
      <c r="G82" s="52" t="inlineStr">
        <is>
          <t>CLD #349 MOP (SARA) M8045</t>
        </is>
      </c>
    </row>
    <row r="83" ht="13.5" customHeight="1" s="37">
      <c r="A83" s="57" t="n">
        <v>65</v>
      </c>
      <c r="B83" s="60" t="inlineStr">
        <is>
          <t>Gloves 7.0 (Sterile Surgical)</t>
        </is>
      </c>
      <c r="C83" s="60" t="inlineStr">
        <is>
          <t>Surgical Consumable</t>
        </is>
      </c>
      <c r="D83" s="61" t="n">
        <v>91</v>
      </c>
      <c r="E83" s="61" t="n">
        <v>22</v>
      </c>
      <c r="F83" s="57" t="inlineStr">
        <is>
          <t>79.1%</t>
        </is>
      </c>
      <c r="G83" s="60" t="inlineStr">
        <is>
          <t>BP Pharma #288 SURGICARE 7.0 (update from Vivek est.)</t>
        </is>
      </c>
    </row>
    <row r="84" ht="13.5" customHeight="1" s="37">
      <c r="A84" s="57" t="n">
        <v>66</v>
      </c>
      <c r="B84" s="60" t="inlineStr">
        <is>
          <t>Gloves 6.5 (Sterile Surgical)</t>
        </is>
      </c>
      <c r="C84" s="60" t="inlineStr">
        <is>
          <t>Surgical Consumable</t>
        </is>
      </c>
      <c r="D84" s="61" t="n">
        <v>97</v>
      </c>
      <c r="E84" s="61" t="n">
        <v>19.06</v>
      </c>
      <c r="F84" s="57" t="inlineStr">
        <is>
          <t>80.4%</t>
        </is>
      </c>
      <c r="G84" s="60" t="inlineStr">
        <is>
          <t>Vivek F-748</t>
        </is>
      </c>
    </row>
    <row r="85" ht="13.5" customHeight="1" s="37">
      <c r="A85" s="57" t="n">
        <v>67</v>
      </c>
      <c r="B85" s="52" t="inlineStr">
        <is>
          <t>Gloves 4.0 (Sterile Surgical)</t>
        </is>
      </c>
      <c r="C85" s="52" t="inlineStr">
        <is>
          <t>Surgical Consumable</t>
        </is>
      </c>
      <c r="D85" s="53" t="n">
        <v>91</v>
      </c>
      <c r="E85" s="53" t="n">
        <v>19.06</v>
      </c>
      <c r="F85" s="57" t="inlineStr">
        <is>
          <t>79.1%</t>
        </is>
      </c>
      <c r="G85" s="52" t="inlineStr">
        <is>
          <t>⚠ Est. proxy size 4.0</t>
        </is>
      </c>
    </row>
    <row r="86" ht="13.5" customHeight="1" s="37">
      <c r="A86" s="57" t="n">
        <v>68</v>
      </c>
      <c r="B86" s="46" t="inlineStr">
        <is>
          <t>Disposable Gloves (Exam)</t>
        </is>
      </c>
      <c r="C86" s="46" t="inlineStr">
        <is>
          <t>Surgical Consumable</t>
        </is>
      </c>
      <c r="D86" s="47" t="n">
        <v>4.63</v>
      </c>
      <c r="E86" s="47" t="n">
        <v>2.8</v>
      </c>
      <c r="F86" s="48" t="inlineStr">
        <is>
          <t>—</t>
        </is>
      </c>
      <c r="G86" s="46" t="inlineStr">
        <is>
          <t>Perfia 400pcs/₹1120; MRP 1850/400pcs</t>
        </is>
      </c>
    </row>
    <row r="87" ht="13.5" customHeight="1" s="37">
      <c r="A87" s="57" t="n">
        <v>69</v>
      </c>
      <c r="B87" s="60" t="inlineStr">
        <is>
          <t>Betadine Lotion 100ml</t>
        </is>
      </c>
      <c r="C87" s="60" t="inlineStr">
        <is>
          <t>Surgical Consumable</t>
        </is>
      </c>
      <c r="D87" s="61" t="n">
        <v>236.25</v>
      </c>
      <c r="E87" s="61" t="n">
        <v>200</v>
      </c>
      <c r="F87" s="57" t="inlineStr">
        <is>
          <t>15.3%</t>
        </is>
      </c>
      <c r="G87" s="60" t="inlineStr">
        <is>
          <t>SSB S000069</t>
        </is>
      </c>
    </row>
    <row r="88" ht="13.5" customHeight="1" s="37">
      <c r="A88" s="57" t="n">
        <v>70</v>
      </c>
      <c r="B88" s="52" t="inlineStr">
        <is>
          <t>Betadine Lotion 50ml</t>
        </is>
      </c>
      <c r="C88" s="52" t="inlineStr">
        <is>
          <t>Surgical Consumable</t>
        </is>
      </c>
      <c r="D88" s="53" t="n">
        <v>118.13</v>
      </c>
      <c r="E88" s="53" t="n">
        <v>100</v>
      </c>
      <c r="F88" s="57" t="inlineStr">
        <is>
          <t>15.3%</t>
        </is>
      </c>
      <c r="G88" s="52" t="inlineStr">
        <is>
          <t>⚠ Est. ~50% of 100ml</t>
        </is>
      </c>
    </row>
    <row r="89" ht="13.5" customHeight="1" s="37">
      <c r="A89" s="57" t="n">
        <v>71</v>
      </c>
      <c r="B89" s="46" t="inlineStr">
        <is>
          <t>Betadine Ointment 40g</t>
        </is>
      </c>
      <c r="C89" s="46" t="inlineStr">
        <is>
          <t>Surgical Consumable</t>
        </is>
      </c>
      <c r="D89" s="47" t="n">
        <v>132</v>
      </c>
      <c r="E89" s="47" t="inlineStr">
        <is>
          <t>⚠ FILL</t>
        </is>
      </c>
      <c r="F89" s="48" t="inlineStr">
        <is>
          <t>—</t>
        </is>
      </c>
      <c r="G89" s="46" t="inlineStr">
        <is>
          <t>Stock OT: POVIDINE OINTMENT 20gm ₹132 (proxy for 40g)</t>
        </is>
      </c>
    </row>
    <row r="90" ht="13.5" customHeight="1" s="37">
      <c r="A90" s="57" t="n">
        <v>72</v>
      </c>
      <c r="B90" s="60" t="inlineStr">
        <is>
          <t>Betadine Scrub 100ml</t>
        </is>
      </c>
      <c r="C90" s="60" t="inlineStr">
        <is>
          <t>Surgical Consumable</t>
        </is>
      </c>
      <c r="D90" s="61" t="n">
        <v>236.25</v>
      </c>
      <c r="E90" s="61" t="n">
        <v>200</v>
      </c>
      <c r="F90" s="57" t="inlineStr">
        <is>
          <t>15.3%</t>
        </is>
      </c>
      <c r="G90" s="60" t="inlineStr">
        <is>
          <t>SSB S000069</t>
        </is>
      </c>
    </row>
    <row r="91" ht="13.5" customHeight="1" s="37">
      <c r="A91" s="57" t="n">
        <v>73</v>
      </c>
      <c r="B91" s="60" t="inlineStr">
        <is>
          <t>Spirit / Isopropyl Alcohol 50ml</t>
        </is>
      </c>
      <c r="C91" s="60" t="inlineStr">
        <is>
          <t>Surgical Consumable</t>
        </is>
      </c>
      <c r="D91" s="61" t="n">
        <v>150</v>
      </c>
      <c r="E91" s="61" t="n">
        <v>38.1</v>
      </c>
      <c r="F91" s="57" t="inlineStr">
        <is>
          <t>74.6%</t>
        </is>
      </c>
      <c r="G91" s="60" t="inlineStr">
        <is>
          <t>SSB S000069</t>
        </is>
      </c>
    </row>
    <row r="92" ht="13.5" customHeight="1" s="37">
      <c r="A92" s="57" t="n">
        <v>74</v>
      </c>
      <c r="B92" s="60" t="inlineStr">
        <is>
          <t>Roller Bandage 6" (Crepe)</t>
        </is>
      </c>
      <c r="C92" s="60" t="inlineStr">
        <is>
          <t>Surgical Consumable</t>
        </is>
      </c>
      <c r="D92" s="61" t="n">
        <v>100</v>
      </c>
      <c r="E92" s="61" t="n">
        <v>40.3</v>
      </c>
      <c r="F92" s="57" t="inlineStr">
        <is>
          <t>59.7%</t>
        </is>
      </c>
      <c r="G92" s="60" t="inlineStr">
        <is>
          <t>BP Pharma #288 CREPE BANDAGE-6" / CLD #328</t>
        </is>
      </c>
    </row>
    <row r="93" ht="13.5" customHeight="1" s="37">
      <c r="A93" s="57" t="n">
        <v>75</v>
      </c>
      <c r="B93" s="52" t="inlineStr">
        <is>
          <t>Roller Bandage 4" (Crepe)</t>
        </is>
      </c>
      <c r="C93" s="52" t="inlineStr">
        <is>
          <t>Surgical Consumable</t>
        </is>
      </c>
      <c r="D93" s="53" t="n">
        <v>128</v>
      </c>
      <c r="E93" s="53" t="n">
        <v>58</v>
      </c>
      <c r="F93" s="82">
        <f>(D93-E93)/D93</f>
        <v/>
      </c>
      <c r="G93" s="52" t="inlineStr">
        <is>
          <t>BP Pharma #340 ROLL BANDAGE 4"(LC)</t>
        </is>
      </c>
    </row>
    <row r="94" ht="13.5" customHeight="1" s="37">
      <c r="A94" s="57" t="n">
        <v>76</v>
      </c>
      <c r="B94" s="52" t="inlineStr">
        <is>
          <t>Crep Bandage 10cm</t>
        </is>
      </c>
      <c r="C94" s="52" t="inlineStr">
        <is>
          <t>Surgical Consumable</t>
        </is>
      </c>
      <c r="D94" s="53" t="n">
        <v>67.5</v>
      </c>
      <c r="E94" s="53" t="n">
        <v>19.05</v>
      </c>
      <c r="F94" s="57" t="inlineStr">
        <is>
          <t>71.8%</t>
        </is>
      </c>
      <c r="G94" s="52" t="inlineStr">
        <is>
          <t>⚠ Est. proxy</t>
        </is>
      </c>
    </row>
    <row r="95" ht="13.5" customHeight="1" s="37">
      <c r="A95" s="57" t="n">
        <v>77</v>
      </c>
      <c r="B95" s="60" t="inlineStr">
        <is>
          <t>Suture Ethilon 2-0 / SN9336TFP</t>
        </is>
      </c>
      <c r="C95" s="60" t="inlineStr">
        <is>
          <t>Surgical Consumable</t>
        </is>
      </c>
      <c r="D95" s="61" t="n">
        <v>277</v>
      </c>
      <c r="E95" s="61" t="n">
        <v>49.52</v>
      </c>
      <c r="F95" s="57" t="inlineStr">
        <is>
          <t>82.1%</t>
        </is>
      </c>
      <c r="G95" s="60" t="inlineStr">
        <is>
          <t>SSB S000135</t>
        </is>
      </c>
    </row>
    <row r="96" ht="13.5" customHeight="1" s="37">
      <c r="A96" s="57" t="n">
        <v>78</v>
      </c>
      <c r="B96" s="52" t="inlineStr">
        <is>
          <t>Suture Vicryl 1 (2421)</t>
        </is>
      </c>
      <c r="C96" s="52" t="inlineStr">
        <is>
          <t>Surgical Consumable</t>
        </is>
      </c>
      <c r="D96" s="53" t="n">
        <v>250</v>
      </c>
      <c r="E96" s="53" t="n">
        <v>100</v>
      </c>
      <c r="F96" s="57" t="inlineStr">
        <is>
          <t>60.0%</t>
        </is>
      </c>
      <c r="G96" s="52" t="inlineStr">
        <is>
          <t>⚠ Est. Market rate</t>
        </is>
      </c>
    </row>
    <row r="97" ht="13.5" customHeight="1" s="37">
      <c r="A97" s="57" t="n">
        <v>79</v>
      </c>
      <c r="B97" s="60" t="inlineStr">
        <is>
          <t>Suture HS 2346D</t>
        </is>
      </c>
      <c r="C97" s="60" t="inlineStr">
        <is>
          <t>Surgical Consumable</t>
        </is>
      </c>
      <c r="D97" s="61" t="n">
        <v>585.9400000000001</v>
      </c>
      <c r="E97" s="61" t="n">
        <v>123.81</v>
      </c>
      <c r="F97" s="57" t="inlineStr">
        <is>
          <t>78.9%</t>
        </is>
      </c>
      <c r="G97" s="60" t="inlineStr">
        <is>
          <t>SSB S000135</t>
        </is>
      </c>
    </row>
    <row r="98" ht="13.5" customHeight="1" s="37">
      <c r="A98" s="57" t="n">
        <v>80</v>
      </c>
      <c r="B98" s="60" t="inlineStr">
        <is>
          <t>Catgut 3-0 / AM4241</t>
        </is>
      </c>
      <c r="C98" s="60" t="inlineStr">
        <is>
          <t>Surgical Consumable</t>
        </is>
      </c>
      <c r="D98" s="61" t="n">
        <v>216</v>
      </c>
      <c r="E98" s="61" t="n">
        <v>57.14</v>
      </c>
      <c r="F98" s="57" t="inlineStr">
        <is>
          <t>73.5%</t>
        </is>
      </c>
      <c r="G98" s="60" t="inlineStr">
        <is>
          <t>SSB S000069</t>
        </is>
      </c>
    </row>
    <row r="99" ht="13.5" customHeight="1" s="37">
      <c r="A99" s="57" t="n">
        <v>81</v>
      </c>
      <c r="B99" s="46" t="inlineStr">
        <is>
          <t>Surgical Blade No. 10</t>
        </is>
      </c>
      <c r="C99" s="46" t="inlineStr">
        <is>
          <t>Surgical Consumable</t>
        </is>
      </c>
      <c r="D99" s="47" t="n">
        <v>750</v>
      </c>
      <c r="E99" s="47" t="inlineStr">
        <is>
          <t>⚠ FILL</t>
        </is>
      </c>
      <c r="F99" s="48" t="inlineStr">
        <is>
          <t>—</t>
        </is>
      </c>
      <c r="G99" s="46" t="inlineStr">
        <is>
          <t>Stock file</t>
        </is>
      </c>
    </row>
    <row r="100" ht="13.5" customHeight="1" s="37">
      <c r="A100" s="57" t="n">
        <v>82</v>
      </c>
      <c r="B100" s="46" t="inlineStr">
        <is>
          <t>Surgical Blade No. 20</t>
        </is>
      </c>
      <c r="C100" s="46" t="inlineStr">
        <is>
          <t>Surgical Consumable</t>
        </is>
      </c>
      <c r="D100" s="47" t="n">
        <v>710</v>
      </c>
      <c r="E100" s="47" t="inlineStr">
        <is>
          <t>⚠ FILL</t>
        </is>
      </c>
      <c r="F100" s="48" t="inlineStr">
        <is>
          <t>—</t>
        </is>
      </c>
      <c r="G100" s="46" t="inlineStr">
        <is>
          <t>Stock file</t>
        </is>
      </c>
    </row>
    <row r="101" ht="13.5" customHeight="1" s="37">
      <c r="A101" s="57" t="n">
        <v>83</v>
      </c>
      <c r="B101" s="46" t="inlineStr">
        <is>
          <t>Plain Sheet (OT Draping)</t>
        </is>
      </c>
      <c r="C101" s="46" t="inlineStr">
        <is>
          <t>Surgical Consumable</t>
        </is>
      </c>
      <c r="D101" s="47" t="n">
        <v>200</v>
      </c>
      <c r="E101" s="47" t="n">
        <v>65</v>
      </c>
      <c r="F101" s="78">
        <f>(D101-E101)/D101</f>
        <v/>
      </c>
      <c r="G101" s="46" t="inlineStr">
        <is>
          <t>BP Pharma #248/#288 — PLAIN SHEET D301 20/10pcs</t>
        </is>
      </c>
    </row>
    <row r="102" ht="13.5" customHeight="1" s="37">
      <c r="A102" s="57" t="n">
        <v>84</v>
      </c>
      <c r="B102" s="46" t="inlineStr">
        <is>
          <t>Soft Roll (OT Padding)</t>
        </is>
      </c>
      <c r="C102" s="46" t="inlineStr">
        <is>
          <t>Surgical Consumable</t>
        </is>
      </c>
      <c r="D102" s="47" t="n">
        <v>117</v>
      </c>
      <c r="E102" s="47" t="n">
        <v>45.74</v>
      </c>
      <c r="F102" s="78">
        <f>(D102-E102)/D102</f>
        <v/>
      </c>
      <c r="G102" s="46" t="inlineStr">
        <is>
          <t>CLD #329 SOFT ROLL-6" (MEDIGRIP); earlier CLD #266 ₹48.50</t>
        </is>
      </c>
    </row>
    <row r="103" ht="13.5" customHeight="1" s="37">
      <c r="A103" s="57" t="n">
        <v>85</v>
      </c>
      <c r="B103" s="46" t="inlineStr">
        <is>
          <t>Gypsona POP Bandage 40G</t>
        </is>
      </c>
      <c r="C103" s="46" t="inlineStr">
        <is>
          <t>Surgical Consumable</t>
        </is>
      </c>
      <c r="D103" s="47" t="n">
        <v>19.92</v>
      </c>
      <c r="E103" s="47" t="n">
        <v>11.58</v>
      </c>
      <c r="F103" s="48" t="inlineStr">
        <is>
          <t>—</t>
        </is>
      </c>
      <c r="G103" s="46" t="inlineStr">
        <is>
          <t>BP Pharma #288 GYPSONA 4" 12/pack ₹239MRP/₹139cost</t>
        </is>
      </c>
    </row>
    <row r="104" ht="13.5" customHeight="1" s="37">
      <c r="A104" s="57" t="n">
        <v>86</v>
      </c>
      <c r="B104" s="46" t="inlineStr">
        <is>
          <t>Cap + Mask (Disposable Set)</t>
        </is>
      </c>
      <c r="C104" s="46" t="inlineStr">
        <is>
          <t>Surgical Consumable</t>
        </is>
      </c>
      <c r="D104" s="47" t="n">
        <v>25</v>
      </c>
      <c r="E104" s="47" t="inlineStr">
        <is>
          <t>⚠ FILL</t>
        </is>
      </c>
      <c r="F104" s="48" t="inlineStr">
        <is>
          <t>—</t>
        </is>
      </c>
      <c r="G104" s="46" t="inlineStr">
        <is>
          <t>Est. market rate — cap+mask set per pair</t>
        </is>
      </c>
    </row>
    <row r="105" ht="13.5" customHeight="1" s="37">
      <c r="A105" s="57" t="n">
        <v>87</v>
      </c>
      <c r="B105" s="52" t="inlineStr">
        <is>
          <t>Moli / Mackintosh Sheet</t>
        </is>
      </c>
      <c r="C105" s="52" t="inlineStr">
        <is>
          <t>Surgical Consumable</t>
        </is>
      </c>
      <c r="D105" s="53" t="n">
        <v>150</v>
      </c>
      <c r="E105" s="53" t="n">
        <v>105</v>
      </c>
      <c r="F105" s="57" t="inlineStr">
        <is>
          <t>30.0%</t>
        </is>
      </c>
      <c r="G105" s="52" t="inlineStr">
        <is>
          <t>⚠ Est. Stock reg</t>
        </is>
      </c>
    </row>
    <row r="106" ht="13.5" customHeight="1" s="37">
      <c r="A106" s="57" t="n">
        <v>88</v>
      </c>
      <c r="B106" s="60" t="inlineStr">
        <is>
          <t>AbGel AHG Sponge (Haemostatic)</t>
        </is>
      </c>
      <c r="C106" s="60" t="inlineStr">
        <is>
          <t>Surgical Consumable</t>
        </is>
      </c>
      <c r="D106" s="61" t="n">
        <v>302</v>
      </c>
      <c r="E106" s="61" t="n">
        <v>188.57</v>
      </c>
      <c r="F106" s="57" t="inlineStr">
        <is>
          <t>37.6%</t>
        </is>
      </c>
      <c r="G106" s="60" t="inlineStr">
        <is>
          <t>SSB S000069</t>
        </is>
      </c>
    </row>
    <row r="107" ht="13.5" customHeight="1" s="37">
      <c r="A107" s="57" t="n">
        <v>89</v>
      </c>
      <c r="B107" s="60" t="inlineStr">
        <is>
          <t>Jelo Net (Paraffin Tulle)</t>
        </is>
      </c>
      <c r="C107" s="60" t="inlineStr">
        <is>
          <t>Surgical Consumable</t>
        </is>
      </c>
      <c r="D107" s="61" t="n">
        <v>280</v>
      </c>
      <c r="E107" s="61" t="n">
        <v>128.57</v>
      </c>
      <c r="F107" s="57" t="inlineStr">
        <is>
          <t>54.1%</t>
        </is>
      </c>
      <c r="G107" s="60" t="inlineStr">
        <is>
          <t>SSB S000069</t>
        </is>
      </c>
    </row>
    <row r="108" ht="13.5" customHeight="1" s="37">
      <c r="A108" s="57" t="n">
        <v>90</v>
      </c>
      <c r="B108" s="52" t="inlineStr">
        <is>
          <t>Micropore Tape</t>
        </is>
      </c>
      <c r="C108" s="52" t="inlineStr">
        <is>
          <t>Surgical Consumable</t>
        </is>
      </c>
      <c r="D108" s="53" t="n">
        <v>246</v>
      </c>
      <c r="E108" s="53" t="n">
        <v>100</v>
      </c>
      <c r="F108" s="57" t="inlineStr">
        <is>
          <t>59.3%</t>
        </is>
      </c>
      <c r="G108" s="52" t="inlineStr">
        <is>
          <t>⚠ Est. SSB</t>
        </is>
      </c>
    </row>
    <row r="109" ht="12.75" customHeight="1" s="37">
      <c r="A109" s="41" t="inlineStr">
        <is>
          <t>── TOPICAL ──</t>
        </is>
      </c>
      <c r="B109" s="42" t="n"/>
      <c r="C109" s="42" t="n"/>
      <c r="D109" s="42" t="n"/>
      <c r="E109" s="42" t="n"/>
      <c r="F109" s="42" t="n"/>
      <c r="G109" s="42" t="n"/>
    </row>
    <row r="110" ht="13.5" customHeight="1" s="37">
      <c r="A110" s="68" t="n">
        <v>91</v>
      </c>
      <c r="B110" s="69" t="inlineStr">
        <is>
          <t>T-Bact Ointment 15g</t>
        </is>
      </c>
      <c r="C110" s="69" t="inlineStr">
        <is>
          <t>Topical</t>
        </is>
      </c>
      <c r="D110" s="70" t="n">
        <v>325.08</v>
      </c>
      <c r="E110" s="70" t="n">
        <v>247.68</v>
      </c>
      <c r="F110" s="68" t="inlineStr">
        <is>
          <t>23.8%</t>
        </is>
      </c>
      <c r="G110" s="69" t="inlineStr">
        <is>
          <t>SSB S000069</t>
        </is>
      </c>
    </row>
    <row r="111" ht="12.75" customHeight="1" s="37">
      <c r="A111" s="41" t="inlineStr">
        <is>
          <t>── INVESTIGATION ──</t>
        </is>
      </c>
      <c r="B111" s="42" t="n"/>
      <c r="C111" s="42" t="n"/>
      <c r="D111" s="42" t="n"/>
      <c r="E111" s="42" t="n"/>
      <c r="F111" s="42" t="n"/>
      <c r="G111" s="42" t="n"/>
    </row>
    <row r="112" ht="13.5" customHeight="1" s="37">
      <c r="A112" s="71" t="n">
        <v>92</v>
      </c>
      <c r="B112" s="46" t="inlineStr">
        <is>
          <t>Glucostrip (Blood Glucose)</t>
        </is>
      </c>
      <c r="C112" s="46" t="inlineStr">
        <is>
          <t>Investigation</t>
        </is>
      </c>
      <c r="D112" s="47" t="n">
        <v>785</v>
      </c>
      <c r="E112" s="47" t="inlineStr">
        <is>
          <t>⚠ FILL</t>
        </is>
      </c>
      <c r="F112" s="48" t="inlineStr">
        <is>
          <t>—</t>
        </is>
      </c>
      <c r="G112" s="46" t="inlineStr">
        <is>
          <t>Stock file</t>
        </is>
      </c>
    </row>
    <row r="113" ht="13.5" customHeight="1" s="37">
      <c r="A113" s="71" t="n">
        <v>93</v>
      </c>
      <c r="B113" s="46" t="inlineStr">
        <is>
          <t>Lancet Needle</t>
        </is>
      </c>
      <c r="C113" s="46" t="inlineStr">
        <is>
          <t>Investigation</t>
        </is>
      </c>
      <c r="D113" s="47" t="n">
        <v>258</v>
      </c>
      <c r="E113" s="47" t="inlineStr">
        <is>
          <t>⚠ FILL</t>
        </is>
      </c>
      <c r="F113" s="48" t="inlineStr">
        <is>
          <t>—</t>
        </is>
      </c>
      <c r="G113" s="46" t="inlineStr">
        <is>
          <t>Stock file</t>
        </is>
      </c>
    </row>
    <row r="114" ht="13.5" customHeight="1" s="37">
      <c r="A114" s="71" t="n">
        <v>94</v>
      </c>
      <c r="B114" s="46" t="inlineStr">
        <is>
          <t>Red Top Tube (Blood Vial)</t>
        </is>
      </c>
      <c r="C114" s="46" t="inlineStr">
        <is>
          <t>Investigation</t>
        </is>
      </c>
      <c r="D114" s="47" t="inlineStr">
        <is>
          <t>⚠ FILL</t>
        </is>
      </c>
      <c r="E114" s="47" t="inlineStr">
        <is>
          <t>⚠ FILL</t>
        </is>
      </c>
      <c r="F114" s="48" t="inlineStr">
        <is>
          <t>—</t>
        </is>
      </c>
      <c r="G114" s="46" t="inlineStr">
        <is>
          <t>⚠ MRP NOT FOUND</t>
        </is>
      </c>
    </row>
    <row r="115" ht="13.5" customHeight="1" s="37">
      <c r="A115" s="71" t="n">
        <v>95</v>
      </c>
      <c r="B115" s="46" t="inlineStr">
        <is>
          <t>CBC Vial Yellow + Red Top</t>
        </is>
      </c>
      <c r="C115" s="46" t="inlineStr">
        <is>
          <t>Investigation</t>
        </is>
      </c>
      <c r="D115" s="47" t="inlineStr">
        <is>
          <t>⚠ FILL</t>
        </is>
      </c>
      <c r="E115" s="47" t="inlineStr">
        <is>
          <t>⚠ FILL</t>
        </is>
      </c>
      <c r="F115" s="48" t="inlineStr">
        <is>
          <t>—</t>
        </is>
      </c>
      <c r="G115" s="46" t="inlineStr">
        <is>
          <t>⚠ MRP NOT FOUND</t>
        </is>
      </c>
    </row>
    <row r="116" ht="12.75" customHeight="1" s="37">
      <c r="A116" s="41" t="inlineStr">
        <is>
          <t>── EQUIPMENT ──</t>
        </is>
      </c>
      <c r="B116" s="42" t="n"/>
      <c r="C116" s="42" t="n"/>
      <c r="D116" s="42" t="n"/>
      <c r="E116" s="42" t="n"/>
      <c r="F116" s="42" t="n"/>
      <c r="G116" s="42" t="n"/>
    </row>
    <row r="117" ht="13.5" customHeight="1" s="37">
      <c r="A117" s="71" t="n">
        <v>96</v>
      </c>
      <c r="B117" s="46" t="inlineStr">
        <is>
          <t>O2 / Oxygen (per use)</t>
        </is>
      </c>
      <c r="C117" s="46" t="inlineStr">
        <is>
          <t>Equipment</t>
        </is>
      </c>
      <c r="D117" s="47" t="inlineStr">
        <is>
          <t>⚠ FILL</t>
        </is>
      </c>
      <c r="E117" s="47" t="inlineStr">
        <is>
          <t>⚠ FILL</t>
        </is>
      </c>
      <c r="F117" s="48" t="inlineStr">
        <is>
          <t>—</t>
        </is>
      </c>
      <c r="G117" s="46" t="inlineStr">
        <is>
          <t>⚠ To be set as fixed charge</t>
        </is>
      </c>
    </row>
    <row r="118" ht="13.5" customHeight="1" s="37">
      <c r="A118" s="71" t="n">
        <v>97</v>
      </c>
      <c r="B118" s="46" t="inlineStr">
        <is>
          <t>Pulse Oximeter (per use)</t>
        </is>
      </c>
      <c r="C118" s="46" t="inlineStr">
        <is>
          <t>Equipment</t>
        </is>
      </c>
      <c r="D118" s="47" t="inlineStr">
        <is>
          <t>⚠ FILL</t>
        </is>
      </c>
      <c r="E118" s="47" t="inlineStr">
        <is>
          <t>⚠ FILL</t>
        </is>
      </c>
      <c r="F118" s="48" t="inlineStr">
        <is>
          <t>—</t>
        </is>
      </c>
      <c r="G118" s="46" t="inlineStr">
        <is>
          <t>⚠ Included in OT charges</t>
        </is>
      </c>
    </row>
    <row r="119" ht="13.5" customHeight="1" s="37">
      <c r="A119" s="71" t="n">
        <v>98</v>
      </c>
      <c r="B119" s="46" t="inlineStr">
        <is>
          <t>Cardiac Monitor (per use)</t>
        </is>
      </c>
      <c r="C119" s="46" t="inlineStr">
        <is>
          <t>Equipment</t>
        </is>
      </c>
      <c r="D119" s="47" t="inlineStr">
        <is>
          <t>⚠ FILL</t>
        </is>
      </c>
      <c r="E119" s="47" t="inlineStr">
        <is>
          <t>⚠ FILL</t>
        </is>
      </c>
      <c r="F119" s="48" t="inlineStr">
        <is>
          <t>—</t>
        </is>
      </c>
      <c r="G119" s="46" t="inlineStr">
        <is>
          <t>⚠ Included in OT charges</t>
        </is>
      </c>
    </row>
    <row r="120" ht="13.5" customHeight="1" s="37">
      <c r="A120" s="71" t="n">
        <v>99</v>
      </c>
      <c r="B120" s="46" t="inlineStr">
        <is>
          <t>C-arm (per use)</t>
        </is>
      </c>
      <c r="C120" s="46" t="inlineStr">
        <is>
          <t>Equipment</t>
        </is>
      </c>
      <c r="D120" s="47" t="inlineStr">
        <is>
          <t>⚠ FILL</t>
        </is>
      </c>
      <c r="E120" s="47" t="inlineStr">
        <is>
          <t>⚠ FILL</t>
        </is>
      </c>
      <c r="F120" s="48" t="inlineStr">
        <is>
          <t>—</t>
        </is>
      </c>
      <c r="G120" s="46" t="inlineStr">
        <is>
          <t>⚠ To be set as fixed charge</t>
        </is>
      </c>
    </row>
    <row r="121"/>
    <row r="122" ht="13.5" customHeight="1" s="37">
      <c r="A122" s="36" t="n">
        <v>100</v>
      </c>
    </row>
    <row r="123" ht="12.75" customHeight="1" s="37">
      <c r="A123" s="36" t="n">
        <v>101</v>
      </c>
      <c r="B123" s="36" t="inlineStr">
        <is>
          <t>Ioban Surgical Drape</t>
        </is>
      </c>
      <c r="D123" s="36" t="n">
        <v>1590</v>
      </c>
      <c r="E123" s="36" t="n">
        <v>625</v>
      </c>
      <c r="G123" s="36" t="inlineStr">
        <is>
          <t>Perfia Consumables List 1box/₹7500 (12pc)</t>
        </is>
      </c>
    </row>
    <row r="124" ht="12.75" customHeight="1" s="37">
      <c r="A124" s="36" t="n">
        <v>102</v>
      </c>
      <c r="B124" s="36" t="inlineStr">
        <is>
          <t>Suction Tube (VACCU)</t>
        </is>
      </c>
      <c r="D124" s="36" t="n">
        <v>609</v>
      </c>
      <c r="E124" s="36" t="n">
        <v>64</v>
      </c>
      <c r="F124" s="36" t="inlineStr">
        <is>
          <t>89.5%</t>
        </is>
      </c>
      <c r="G124" s="36" t="inlineStr">
        <is>
          <t>BP Pharma #307 VACCU SUCTION SET</t>
        </is>
      </c>
    </row>
    <row r="125" ht="12.75" customHeight="1" s="37">
      <c r="A125" s="36" t="n">
        <v>103</v>
      </c>
      <c r="B125" s="36" t="inlineStr">
        <is>
          <t>Bardia 3-Way Catheter 22Fr</t>
        </is>
      </c>
      <c r="D125" s="36" t="n">
        <v>408</v>
      </c>
      <c r="E125" s="36" t="n">
        <v>353.75</v>
      </c>
      <c r="F125" s="83">
        <f>(D125-E125)/D125</f>
        <v/>
      </c>
      <c r="G125" s="36" t="inlineStr">
        <is>
          <t>CLD #343 FOLEYS CATH. Z4101 (3-way)</t>
        </is>
      </c>
    </row>
    <row r="126" ht="12.75" customHeight="1" s="37">
      <c r="A126" s="36" t="n">
        <v>104</v>
      </c>
      <c r="B126" s="36" t="inlineStr">
        <is>
          <t>Bardia 2-Way Catheter 14Fr</t>
        </is>
      </c>
      <c r="D126" s="36" t="n">
        <v>191</v>
      </c>
      <c r="E126" s="36" t="n">
        <v>165</v>
      </c>
      <c r="F126" s="83">
        <f>(D126-E126)/D126</f>
        <v/>
      </c>
      <c r="G126" s="36" t="inlineStr">
        <is>
          <t>BP Pharma #307 FOLEY CATH 2WAY 14N</t>
        </is>
      </c>
    </row>
    <row r="127" ht="12.75" customHeight="1" s="37">
      <c r="A127" s="36" t="n">
        <v>105</v>
      </c>
      <c r="B127" s="36" t="inlineStr">
        <is>
          <t>Bardia 2-Way Catheter 16Fr</t>
        </is>
      </c>
      <c r="D127" s="36" t="n">
        <v>191</v>
      </c>
      <c r="E127" s="36" t="n">
        <v>131.45</v>
      </c>
      <c r="F127" s="84">
        <f>(D127-E127)/D127</f>
        <v/>
      </c>
      <c r="G127" s="36" t="inlineStr">
        <is>
          <t>Perfia Consumables List 5pcs/₹650</t>
        </is>
      </c>
    </row>
    <row r="128" ht="12.75" customHeight="1" s="37">
      <c r="A128" s="36" t="n">
        <v>106</v>
      </c>
      <c r="B128" s="36" t="inlineStr">
        <is>
          <t>Bardia 2-Way Catheter 18Fr</t>
        </is>
      </c>
      <c r="D128" s="36" t="n">
        <v>174</v>
      </c>
      <c r="E128" s="36" t="n">
        <v>130</v>
      </c>
      <c r="G128" s="36" t="inlineStr">
        <is>
          <t>Perfia Consumables List 5pcs/₹650</t>
        </is>
      </c>
    </row>
    <row r="129" ht="12.75" customHeight="1" s="37">
      <c r="A129" s="36" t="n">
        <v>107</v>
      </c>
      <c r="B129" s="36" t="inlineStr">
        <is>
          <t>IV Cannula 24G</t>
        </is>
      </c>
      <c r="D129" s="36" t="n">
        <v>693</v>
      </c>
      <c r="E129" s="36" t="n">
        <v>350</v>
      </c>
      <c r="G129" s="36" t="inlineStr">
        <is>
          <t>Perfia Consumables List</t>
        </is>
      </c>
    </row>
    <row r="130" ht="12.75" customHeight="1" s="37">
      <c r="A130" s="36" t="n">
        <v>108</v>
      </c>
      <c r="B130" s="36" t="inlineStr">
        <is>
          <t>Gamji Roll</t>
        </is>
      </c>
      <c r="D130" s="36" t="n">
        <v>250</v>
      </c>
      <c r="E130" s="36" t="n">
        <v>80</v>
      </c>
      <c r="G130" s="36" t="inlineStr">
        <is>
          <t>Perfia Consumables List 5pcs/₹400</t>
        </is>
      </c>
    </row>
    <row r="131" ht="12.75" customHeight="1" s="37">
      <c r="A131" s="36" t="n">
        <v>109</v>
      </c>
      <c r="B131" s="36" t="inlineStr">
        <is>
          <t>C Colin Tube Size 14</t>
        </is>
      </c>
      <c r="D131" s="36" t="n">
        <v>842</v>
      </c>
      <c r="E131" s="36" t="n">
        <v>20</v>
      </c>
      <c r="G131" s="36" t="inlineStr">
        <is>
          <t>Perfia Consumables List 5pcs/₹100</t>
        </is>
      </c>
    </row>
    <row r="132" ht="12.75" customHeight="1" s="37">
      <c r="A132" s="36" t="n">
        <v>110</v>
      </c>
      <c r="B132" s="36" t="inlineStr">
        <is>
          <t>C Colin Tube Size 16</t>
        </is>
      </c>
      <c r="D132" s="36" t="n">
        <v>842</v>
      </c>
      <c r="E132" s="36" t="n">
        <v>20</v>
      </c>
      <c r="G132" s="36" t="inlineStr">
        <is>
          <t>Perfia Consumables List 5pcs/₹100</t>
        </is>
      </c>
    </row>
    <row r="133" ht="12.75" customHeight="1" s="37">
      <c r="A133" s="36" t="n">
        <v>111</v>
      </c>
      <c r="B133" s="36" t="inlineStr">
        <is>
          <t>Nasal Cannula</t>
        </is>
      </c>
      <c r="D133" s="36" t="n">
        <v>255</v>
      </c>
      <c r="E133" s="36" t="n">
        <v>18.62</v>
      </c>
      <c r="F133" s="84">
        <f>(D133-E133)/D133</f>
        <v/>
      </c>
      <c r="G133" s="36" t="inlineStr">
        <is>
          <t>Perfia Consumables List 3pcs/₹150</t>
        </is>
      </c>
    </row>
    <row r="134" ht="12.75" customHeight="1" s="37">
      <c r="A134" s="36" t="n">
        <v>112</v>
      </c>
      <c r="B134" s="36" t="inlineStr">
        <is>
          <t>Suture VP 2478 (per piece)</t>
        </is>
      </c>
      <c r="D134" s="36" t="n">
        <v>1223</v>
      </c>
      <c r="E134" s="36" t="n">
        <v>672.5</v>
      </c>
      <c r="G134" s="36" t="inlineStr">
        <is>
          <t>Perfia box/₹8070, 12pc; MRP ₹14676/box</t>
        </is>
      </c>
    </row>
    <row r="135" ht="12.75" customHeight="1" s="37">
      <c r="A135" s="36" t="n">
        <v>113</v>
      </c>
      <c r="B135" s="36" t="inlineStr">
        <is>
          <t>Suture NW 2477 (per piece)</t>
        </is>
      </c>
      <c r="D135" s="36" t="n">
        <v>636</v>
      </c>
      <c r="E135" s="36" t="n">
        <v>350</v>
      </c>
      <c r="G135" s="36" t="inlineStr">
        <is>
          <t>Perfia box/₹4200, 12pc; MRP ₹7632/box</t>
        </is>
      </c>
    </row>
    <row r="136" ht="12.75" customHeight="1" s="37">
      <c r="A136" s="36" t="n">
        <v>114</v>
      </c>
      <c r="B136" s="36" t="inlineStr">
        <is>
          <t>Suture VP 2548 (per piece)</t>
        </is>
      </c>
      <c r="D136" s="36" t="n">
        <v>1059</v>
      </c>
      <c r="E136" s="36" t="n">
        <v>558.33</v>
      </c>
      <c r="G136" s="36" t="inlineStr">
        <is>
          <t>Perfia box/₹6700, 12pc; MRP ₹12710/box</t>
        </is>
      </c>
    </row>
    <row r="137" ht="12.75" customHeight="1" s="37">
      <c r="A137" s="36" t="n">
        <v>115</v>
      </c>
      <c r="B137" s="36" t="inlineStr">
        <is>
          <t>Suture VP 2421 (per piece)</t>
        </is>
      </c>
      <c r="D137" s="36" t="n">
        <v>1171</v>
      </c>
      <c r="E137" s="36" t="n">
        <v>644.17</v>
      </c>
      <c r="G137" s="36" t="inlineStr">
        <is>
          <t>Perfia box/₹7730, 12pc; MRP ₹14052/box</t>
        </is>
      </c>
    </row>
    <row r="138" ht="12.75" customHeight="1" s="37">
      <c r="A138" s="36" t="n">
        <v>116</v>
      </c>
      <c r="B138" s="36" t="inlineStr">
        <is>
          <t>Suture VP 2304 (per piece)</t>
        </is>
      </c>
      <c r="D138" s="36" t="n">
        <v>672</v>
      </c>
      <c r="E138" s="36" t="n">
        <v>369.17</v>
      </c>
      <c r="G138" s="36" t="inlineStr">
        <is>
          <t>Perfia box/₹4430, 12pc; MRP ₹8064/box</t>
        </is>
      </c>
    </row>
    <row r="139" ht="12.75" customHeight="1" s="37">
      <c r="A139" s="36" t="n">
        <v>117</v>
      </c>
      <c r="B139" s="36" t="inlineStr">
        <is>
          <t>Suture VP 2518 (per piece)</t>
        </is>
      </c>
      <c r="D139" s="36" t="n">
        <v>871</v>
      </c>
      <c r="E139" s="36" t="n">
        <v>479.17</v>
      </c>
      <c r="G139" s="36" t="inlineStr">
        <is>
          <t>Perfia box/₹5750, 12pc; MRP ₹10452/box</t>
        </is>
      </c>
    </row>
    <row r="140" ht="12.75" customHeight="1" s="37">
      <c r="A140" s="36" t="n">
        <v>118</v>
      </c>
      <c r="B140" s="36" t="inlineStr">
        <is>
          <t>Suture NW 2317 (per piece)</t>
        </is>
      </c>
      <c r="D140" s="36" t="n">
        <v>900</v>
      </c>
      <c r="E140" s="36" t="n">
        <v>495</v>
      </c>
      <c r="G140" s="36" t="inlineStr">
        <is>
          <t>Perfia box/₹5940, 12pc; MRP ₹10800/box</t>
        </is>
      </c>
    </row>
    <row r="141" ht="12.75" customHeight="1" s="37">
      <c r="A141" s="36" t="n">
        <v>119</v>
      </c>
      <c r="B141" s="36" t="inlineStr">
        <is>
          <t>NS 3000ml — Normal Saline 3L</t>
        </is>
      </c>
      <c r="D141" s="36" t="n">
        <v>698.4400000000001</v>
      </c>
      <c r="E141" s="36" t="n">
        <v>123</v>
      </c>
      <c r="F141" s="83">
        <f>(D141-E141)/D141</f>
        <v/>
      </c>
      <c r="G141" s="36" t="inlineStr">
        <is>
          <t>BP Pharma #288 NS 3000ML (KRPL)</t>
        </is>
      </c>
    </row>
    <row r="142" ht="12.75" customHeight="1" s="37">
      <c r="A142" s="36" t="n">
        <v>120</v>
      </c>
      <c r="B142" s="36" t="inlineStr">
        <is>
          <t>Gypsona POP Bandage 6"</t>
        </is>
      </c>
      <c r="D142" s="36" t="n">
        <v>24.92</v>
      </c>
      <c r="E142" s="36" t="n">
        <v>14.62</v>
      </c>
      <c r="G142" s="36" t="inlineStr">
        <is>
          <t>BP Pharma #288 GYPSONA 6" 12/pack ₹299/₹175.42</t>
        </is>
      </c>
    </row>
    <row r="143" ht="12.75" customHeight="1" s="37">
      <c r="A143" s="36" t="n">
        <v>121</v>
      </c>
      <c r="B143" s="36" t="inlineStr">
        <is>
          <t>TUR Set (Transurethral Resection)</t>
        </is>
      </c>
      <c r="D143" s="36" t="n">
        <v>523</v>
      </c>
      <c r="E143" s="36" t="n">
        <v>107.95</v>
      </c>
      <c r="F143" s="36" t="inlineStr">
        <is>
          <t>79.4%</t>
        </is>
      </c>
      <c r="G143" s="36" t="inlineStr">
        <is>
          <t>Stock OT: TURP SET</t>
        </is>
      </c>
    </row>
    <row r="144" ht="12.75" customHeight="1" s="37">
      <c r="A144" s="36" t="n">
        <v>122</v>
      </c>
      <c r="B144" s="36" t="inlineStr">
        <is>
          <t>C-Arm Cover (Disposable Drape)</t>
        </is>
      </c>
      <c r="D144" s="36" t="n">
        <v>234</v>
      </c>
      <c r="E144" s="36" t="n">
        <v>169</v>
      </c>
      <c r="F144" s="83">
        <f>(D144-E144)/D144</f>
        <v/>
      </c>
      <c r="G144" s="36" t="inlineStr">
        <is>
          <t>Stock OT: C-ARM COVER</t>
        </is>
      </c>
    </row>
    <row r="145" ht="12.75" customHeight="1" s="37">
      <c r="A145" s="36" t="n">
        <v>123</v>
      </c>
      <c r="B145" s="36" t="inlineStr">
        <is>
          <t>LMA 3.0 Disposable (Laryngeal Mask)</t>
        </is>
      </c>
      <c r="D145" s="36" t="inlineStr">
        <is>
          <t>⚠ FILL</t>
        </is>
      </c>
      <c r="E145" s="36" t="n">
        <v>549.72</v>
      </c>
      <c r="G145" s="36" t="inlineStr">
        <is>
          <t>MP Enterprise #236</t>
        </is>
      </c>
    </row>
    <row r="146" ht="12.75" customHeight="1" s="37">
      <c r="A146" s="36" t="n">
        <v>124</v>
      </c>
      <c r="B146" s="36" t="inlineStr">
        <is>
          <t>LMA 4.0 Disposable (Laryngeal Mask)</t>
        </is>
      </c>
      <c r="D146" s="36" t="inlineStr">
        <is>
          <t>⚠ FILL</t>
        </is>
      </c>
      <c r="E146" s="36" t="n">
        <v>549.72</v>
      </c>
      <c r="G146" s="36" t="inlineStr">
        <is>
          <t>MP Enterprise #236</t>
        </is>
      </c>
    </row>
    <row r="147" ht="12.75" customHeight="1" s="37">
      <c r="A147" s="36" t="n">
        <v>125</v>
      </c>
      <c r="B147" s="36" t="inlineStr">
        <is>
          <t>ET Tube No.6 — Armead</t>
        </is>
      </c>
      <c r="D147" s="36" t="n">
        <v>399</v>
      </c>
      <c r="E147" s="36" t="n">
        <v>625.3200000000001</v>
      </c>
      <c r="F147" s="36" t="inlineStr">
        <is>
          <t>-56.7%</t>
        </is>
      </c>
      <c r="G147" s="36" t="inlineStr">
        <is>
          <t>Stock OT: ET TUBE 6 NO</t>
        </is>
      </c>
    </row>
    <row r="148" ht="12.75" customHeight="1" s="37">
      <c r="A148" s="36" t="n">
        <v>126</v>
      </c>
      <c r="B148" s="36" t="inlineStr">
        <is>
          <t>RAE Nasal Tube</t>
        </is>
      </c>
      <c r="D148" s="36" t="n">
        <v>1595</v>
      </c>
      <c r="E148" s="36" t="n">
        <v>632</v>
      </c>
      <c r="F148" s="36" t="inlineStr">
        <is>
          <t>60.4%</t>
        </is>
      </c>
      <c r="G148" s="36" t="inlineStr">
        <is>
          <t>Stock OT: NASAL TUBE ADULT 6 NO</t>
        </is>
      </c>
    </row>
    <row r="149" ht="12.75" customHeight="1" s="37">
      <c r="A149" s="36" t="n">
        <v>127</v>
      </c>
      <c r="B149" s="36" t="inlineStr">
        <is>
          <t>Romo Bougie (Surgical Dilator)</t>
        </is>
      </c>
      <c r="D149" s="36" t="n">
        <v>1952</v>
      </c>
      <c r="E149" s="36" t="n">
        <v>292.75</v>
      </c>
      <c r="F149" s="36" t="inlineStr">
        <is>
          <t>85.0%</t>
        </is>
      </c>
      <c r="G149" s="36" t="inlineStr">
        <is>
          <t>Stock OT: BOUGIE</t>
        </is>
      </c>
    </row>
    <row r="150">
      <c r="A150" s="36" t="n">
        <v>128</v>
      </c>
      <c r="B150" s="36" t="inlineStr">
        <is>
          <t>Romo-ADK (Airway Dilator Kit)</t>
        </is>
      </c>
      <c r="C150" s="36" t="inlineStr">
        <is>
          <t>Surgical Consumable</t>
        </is>
      </c>
      <c r="D150" s="36" t="n">
        <v>509</v>
      </c>
      <c r="E150" s="36" t="n">
        <v>124.87</v>
      </c>
      <c r="F150" s="36" t="inlineStr">
        <is>
          <t>75.5%</t>
        </is>
      </c>
      <c r="G150" s="36" t="inlineStr">
        <is>
          <t>Stock OT: ROMO-ADK (ABDOMINAL DRAINAGE) 28 NO</t>
        </is>
      </c>
    </row>
    <row r="151">
      <c r="A151" s="36" t="n">
        <v>129</v>
      </c>
      <c r="B151" s="36" t="inlineStr">
        <is>
          <t>Suspensory Bandage B+++ (Scrotal Support)</t>
        </is>
      </c>
      <c r="C151" s="36" t="inlineStr">
        <is>
          <t>Surgical Consumable</t>
        </is>
      </c>
      <c r="D151" s="36" t="n">
        <v>70</v>
      </c>
      <c r="E151" s="36" t="n">
        <v>19.52</v>
      </c>
      <c r="F151" s="36" t="inlineStr">
        <is>
          <t>72.1%</t>
        </is>
      </c>
      <c r="G151" s="36" t="inlineStr">
        <is>
          <t>Stock OT: SUSPENSORY BANDAGE XL (per box)</t>
        </is>
      </c>
    </row>
    <row r="152">
      <c r="A152" s="36" t="n">
        <v>130</v>
      </c>
      <c r="B152" s="36" t="inlineStr">
        <is>
          <t>Glycine 3000ml (Irrigation Fluid)</t>
        </is>
      </c>
      <c r="C152" s="36" t="inlineStr">
        <is>
          <t>IV Fluid</t>
        </is>
      </c>
      <c r="D152" s="36" t="n">
        <v>704</v>
      </c>
      <c r="E152" s="36" t="n">
        <v>128</v>
      </c>
      <c r="F152" s="36" t="inlineStr">
        <is>
          <t>81.8%</t>
        </is>
      </c>
      <c r="G152" s="36" t="inlineStr">
        <is>
          <t>Stock OT: GLYCIN (3000ml)</t>
        </is>
      </c>
    </row>
    <row r="153">
      <c r="A153" s="36" t="n">
        <v>131</v>
      </c>
      <c r="B153" s="36" t="inlineStr">
        <is>
          <t>Liquid Paraffin (LIQ 4)</t>
        </is>
      </c>
      <c r="C153" s="36" t="inlineStr">
        <is>
          <t>Surgical Consumable</t>
        </is>
      </c>
      <c r="D153" s="36" t="n">
        <v>262</v>
      </c>
      <c r="E153" s="36" t="n">
        <v>158.12</v>
      </c>
      <c r="F153" s="36" t="inlineStr">
        <is>
          <t>39.6%</t>
        </is>
      </c>
      <c r="G153" s="36" t="inlineStr">
        <is>
          <t>Stock OT: PARAPHI OIL</t>
        </is>
      </c>
    </row>
    <row r="154">
      <c r="A154" s="36" t="n">
        <v>132</v>
      </c>
      <c r="B154" s="36" t="inlineStr">
        <is>
          <t>Gauze Roll 16 MTR (GAUGE THAN 1)</t>
        </is>
      </c>
      <c r="C154" s="36" t="inlineStr">
        <is>
          <t>Surgical Consumable</t>
        </is>
      </c>
      <c r="D154" s="36" t="n">
        <v>339.06</v>
      </c>
      <c r="E154" s="36" t="n">
        <v>214.5</v>
      </c>
      <c r="F154" s="36" t="inlineStr">
        <is>
          <t>36.7%</t>
        </is>
      </c>
      <c r="G154" s="36" t="inlineStr">
        <is>
          <t>BP Pharma #288 GAUGE THAN 16 MTR (MRP confirmed)</t>
        </is>
      </c>
    </row>
    <row r="155">
      <c r="A155" s="36" t="n">
        <v>133</v>
      </c>
      <c r="B155" s="36" t="inlineStr">
        <is>
          <t>Leukoplast 7cm (Adhesive Bandage)</t>
        </is>
      </c>
      <c r="C155" s="36" t="inlineStr">
        <is>
          <t>Surgical Consumable</t>
        </is>
      </c>
      <c r="D155" s="36" t="n">
        <v>364</v>
      </c>
      <c r="E155" s="36" t="n">
        <v>225</v>
      </c>
      <c r="F155" s="36" t="inlineStr">
        <is>
          <t>38.2%</t>
        </is>
      </c>
      <c r="G155" s="36" t="inlineStr">
        <is>
          <t>Stock Ward: LEUKOPLAST 7.5CM</t>
        </is>
      </c>
    </row>
    <row r="156">
      <c r="A156" s="36" t="n">
        <v>134</v>
      </c>
      <c r="B156" s="36" t="inlineStr">
        <is>
          <t>Micropore 3" (Large Roll)</t>
        </is>
      </c>
      <c r="C156" s="36" t="inlineStr">
        <is>
          <t>Surgical Consumable</t>
        </is>
      </c>
      <c r="D156" s="36" t="inlineStr">
        <is>
          <t>⚠ FILL</t>
        </is>
      </c>
      <c r="E156" s="36" t="n">
        <v>482</v>
      </c>
      <c r="F156" s="36" t="inlineStr">
        <is>
          <t>—</t>
        </is>
      </c>
      <c r="G156" s="36" t="inlineStr">
        <is>
          <t>CLD Surgical #270</t>
        </is>
      </c>
    </row>
    <row r="157">
      <c r="A157" s="36" t="n">
        <v>135</v>
      </c>
      <c r="B157" s="36" t="inlineStr">
        <is>
          <t>LNW 2421 (Suture / Instrument)</t>
        </is>
      </c>
      <c r="C157" s="36" t="inlineStr">
        <is>
          <t>Surgical Consumable</t>
        </is>
      </c>
      <c r="D157" s="36" t="inlineStr">
        <is>
          <t>⚠ FILL</t>
        </is>
      </c>
      <c r="E157" s="36" t="n">
        <v>4167.84</v>
      </c>
      <c r="F157" s="36" t="inlineStr">
        <is>
          <t>—</t>
        </is>
      </c>
      <c r="G157" s="36" t="inlineStr">
        <is>
          <t>CLD Surgical #270</t>
        </is>
      </c>
    </row>
    <row r="158">
      <c r="A158" s="36" t="n">
        <v>136</v>
      </c>
      <c r="B158" s="36" t="inlineStr">
        <is>
          <t>LNW 3336 (Suture / Instrument)</t>
        </is>
      </c>
      <c r="C158" s="36" t="inlineStr">
        <is>
          <t>Surgical Consumable</t>
        </is>
      </c>
      <c r="D158" s="36" t="inlineStr">
        <is>
          <t>⚠ FILL</t>
        </is>
      </c>
      <c r="E158" s="36" t="n">
        <v>1044.24</v>
      </c>
      <c r="F158" s="36" t="inlineStr">
        <is>
          <t>—</t>
        </is>
      </c>
      <c r="G158" s="36" t="inlineStr">
        <is>
          <t>CLD Surgical #270</t>
        </is>
      </c>
    </row>
    <row r="159">
      <c r="A159" s="36" t="n">
        <v>137</v>
      </c>
      <c r="B159" s="36" t="inlineStr">
        <is>
          <t>Surgicel 2" (Absorbable Haemostat)</t>
        </is>
      </c>
      <c r="C159" s="36" t="inlineStr">
        <is>
          <t>Surgical Consumable</t>
        </is>
      </c>
      <c r="D159" s="36" t="inlineStr">
        <is>
          <t>⚠ FILL</t>
        </is>
      </c>
      <c r="E159" s="36" t="n">
        <v>1147.62</v>
      </c>
      <c r="F159" s="36" t="inlineStr">
        <is>
          <t>—</t>
        </is>
      </c>
      <c r="G159" s="36" t="inlineStr">
        <is>
          <t>CLD Surgical #302 (26/06/26)</t>
        </is>
      </c>
    </row>
    <row r="160">
      <c r="A160" s="36" t="n">
        <v>138</v>
      </c>
      <c r="B160" s="36" t="inlineStr">
        <is>
          <t>ECG Electrode Disposable (ROMSO)</t>
        </is>
      </c>
      <c r="C160" s="36" t="inlineStr">
        <is>
          <t>Consumable</t>
        </is>
      </c>
      <c r="D160" s="36" t="n">
        <v>25</v>
      </c>
      <c r="E160" s="36" t="n">
        <v>5</v>
      </c>
      <c r="F160" s="36" t="inlineStr">
        <is>
          <t>80.0%</t>
        </is>
      </c>
      <c r="G160" s="36" t="inlineStr">
        <is>
          <t>BP Pharma #307</t>
        </is>
      </c>
    </row>
    <row r="161">
      <c r="A161" s="36" t="n">
        <v>139</v>
      </c>
      <c r="B161" s="36" t="inlineStr">
        <is>
          <t>IFT 7 (IV Flow Tube / Giving Set 7)</t>
        </is>
      </c>
      <c r="C161" s="36" t="inlineStr">
        <is>
          <t>Consumable</t>
        </is>
      </c>
      <c r="D161" s="36" t="n">
        <v>61</v>
      </c>
      <c r="E161" s="36" t="n">
        <v>8.85</v>
      </c>
      <c r="F161" s="36" t="inlineStr">
        <is>
          <t>85.5%</t>
        </is>
      </c>
      <c r="G161" s="36" t="inlineStr">
        <is>
          <t>BP Pharma #307</t>
        </is>
      </c>
    </row>
    <row r="162">
      <c r="A162" s="36" t="n">
        <v>140</v>
      </c>
      <c r="B162" s="36" t="inlineStr">
        <is>
          <t>IFT B (IV Flow Tube Type B)</t>
        </is>
      </c>
      <c r="C162" s="36" t="inlineStr">
        <is>
          <t>Consumable</t>
        </is>
      </c>
      <c r="D162" s="36" t="n">
        <v>63</v>
      </c>
      <c r="E162" s="36" t="n">
        <v>8.85</v>
      </c>
      <c r="F162" s="36" t="inlineStr">
        <is>
          <t>86.0%</t>
        </is>
      </c>
      <c r="G162" s="36" t="inlineStr">
        <is>
          <t>BP Pharma #307</t>
        </is>
      </c>
    </row>
    <row r="163">
      <c r="A163" s="36" t="n">
        <v>141</v>
      </c>
      <c r="B163" s="36" t="inlineStr">
        <is>
          <t>Surgeon's Cap (per box)</t>
        </is>
      </c>
      <c r="C163" s="36" t="inlineStr">
        <is>
          <t>Surgical Consumable</t>
        </is>
      </c>
      <c r="D163" s="36" t="n">
        <v>1500</v>
      </c>
      <c r="E163" s="36" t="n">
        <v>156</v>
      </c>
      <c r="F163" s="36" t="inlineStr">
        <is>
          <t>89.6%</t>
        </is>
      </c>
      <c r="G163" s="36" t="inlineStr">
        <is>
          <t>BP Pharma #307 SURGEON'S CAP (1 BOX)</t>
        </is>
      </c>
    </row>
    <row r="164">
      <c r="A164" s="36" t="n">
        <v>142</v>
      </c>
      <c r="B164" s="36" t="inlineStr">
        <is>
          <t>Genellium Pro / Gelatin Sponge (Pink 5)</t>
        </is>
      </c>
      <c r="C164" s="36" t="inlineStr">
        <is>
          <t>Surgical Consumable</t>
        </is>
      </c>
      <c r="D164" s="36" t="n">
        <v>2750</v>
      </c>
      <c r="E164" s="36" t="n">
        <v>810</v>
      </c>
      <c r="F164" s="83">
        <f>(D164-E164)/D164</f>
        <v/>
      </c>
      <c r="G164" s="36" t="inlineStr">
        <is>
          <t>BP Pharma #288 GENELLIUM PRO (PINK) 5</t>
        </is>
      </c>
    </row>
    <row r="165">
      <c r="A165" s="36" t="n">
        <v>143</v>
      </c>
      <c r="B165" s="36" t="inlineStr">
        <is>
          <t>Micro Drip Set (Paediatric IV Set)</t>
        </is>
      </c>
      <c r="C165" s="36" t="inlineStr">
        <is>
          <t>Consumable</t>
        </is>
      </c>
      <c r="D165" s="36" t="n">
        <v>188</v>
      </c>
      <c r="E165" s="36" t="n">
        <v>20.1</v>
      </c>
      <c r="F165" s="83">
        <f>(D165-E165)/D165</f>
        <v/>
      </c>
      <c r="G165" s="36" t="inlineStr">
        <is>
          <t>BP Pharma #288 MICRO DRIP SET (RM)</t>
        </is>
      </c>
    </row>
    <row r="166">
      <c r="A166" s="36" t="n">
        <v>144</v>
      </c>
      <c r="B166" s="36" t="inlineStr">
        <is>
          <t>PM O Line 200cm (IV Extension Set)</t>
        </is>
      </c>
      <c r="C166" s="36" t="inlineStr">
        <is>
          <t>Consumable</t>
        </is>
      </c>
      <c r="D166" s="36" t="n">
        <v>410</v>
      </c>
      <c r="E166" s="36" t="n">
        <v>34.5</v>
      </c>
      <c r="F166" s="36" t="inlineStr">
        <is>
          <t>91.6%</t>
        </is>
      </c>
      <c r="G166" s="36" t="inlineStr">
        <is>
          <t>BP Pharma #288 PM O LINE 200CM (per box)</t>
        </is>
      </c>
    </row>
    <row r="167">
      <c r="A167" s="36" t="n">
        <v>145</v>
      </c>
      <c r="B167" s="36" t="inlineStr">
        <is>
          <t>Roll Bandage 6" LC</t>
        </is>
      </c>
      <c r="C167" s="36" t="inlineStr">
        <is>
          <t>Surgical Consumable</t>
        </is>
      </c>
      <c r="D167" s="36" t="n">
        <v>124</v>
      </c>
      <c r="E167" s="36" t="n">
        <v>78</v>
      </c>
      <c r="F167" s="83">
        <f>(D167-E167)/D167</f>
        <v/>
      </c>
      <c r="G167" s="36" t="inlineStr">
        <is>
          <t>BP Pharma #288 ROLL BANDAGE 6"(LC)</t>
        </is>
      </c>
    </row>
    <row r="168">
      <c r="A168" s="36" t="n">
        <v>146</v>
      </c>
      <c r="B168" s="36" t="inlineStr">
        <is>
          <t>Vein O Line 10cm (IV Extension)</t>
        </is>
      </c>
      <c r="C168" s="36" t="inlineStr">
        <is>
          <t>Consumable</t>
        </is>
      </c>
      <c r="D168" s="36" t="n">
        <v>386</v>
      </c>
      <c r="E168" s="36" t="n">
        <v>31.15</v>
      </c>
      <c r="F168" s="83">
        <f>(D168-E168)/D168</f>
        <v/>
      </c>
      <c r="G168" s="36" t="inlineStr">
        <is>
          <t>BP Pharma #288 VEIN O LINE-10 CM</t>
        </is>
      </c>
    </row>
    <row r="169">
      <c r="A169" s="36" t="n">
        <v>147</v>
      </c>
      <c r="B169" s="36" t="inlineStr">
        <is>
          <t>Betadine 500ml (Povidone Iodine)</t>
        </is>
      </c>
      <c r="C169" s="36" t="inlineStr">
        <is>
          <t>Surgical Consumable</t>
        </is>
      </c>
      <c r="D169" s="36" t="n">
        <v>514</v>
      </c>
      <c r="E169" s="36" t="n">
        <v>200</v>
      </c>
      <c r="F169" s="36" t="inlineStr">
        <is>
          <t>61.1%</t>
        </is>
      </c>
      <c r="G169" s="36" t="inlineStr">
        <is>
          <t>Stock Ward/OT: BETADINE 10% 500ML</t>
        </is>
      </c>
    </row>
    <row r="170">
      <c r="A170" s="36" t="n">
        <v>148</v>
      </c>
      <c r="B170" s="36" t="inlineStr">
        <is>
          <t>Kaltex Examination Gloves (per box 100pcs)</t>
        </is>
      </c>
      <c r="C170" s="36" t="inlineStr">
        <is>
          <t>Surgical Consumable</t>
        </is>
      </c>
      <c r="D170" s="36" t="inlineStr">
        <is>
          <t>⚠ FILL</t>
        </is>
      </c>
      <c r="E170" s="36" t="n">
        <v>305.5</v>
      </c>
      <c r="F170" s="83">
        <f>(D170-E170)/D170</f>
        <v/>
      </c>
      <c r="G170" s="36" t="inlineStr">
        <is>
          <t>CLD Surgical #328 KALTEX EXAMI GLOVES (M)</t>
        </is>
      </c>
    </row>
    <row r="171">
      <c r="A171" s="36" t="n">
        <v>149</v>
      </c>
      <c r="B171" s="36" t="inlineStr">
        <is>
          <t>Dynaplast 10cm (Elastic Adhesive Bandage)</t>
        </is>
      </c>
      <c r="C171" s="36" t="inlineStr">
        <is>
          <t>Surgical Consumable</t>
        </is>
      </c>
      <c r="D171" s="36" t="n">
        <v>1392</v>
      </c>
      <c r="E171" s="36" t="n">
        <v>232.5</v>
      </c>
      <c r="F171" s="36" t="inlineStr">
        <is>
          <t>83.3%</t>
        </is>
      </c>
      <c r="G171" s="36" t="inlineStr">
        <is>
          <t>BP Pharma #340 DYNAPLAST 10CM (GLOB)</t>
        </is>
      </c>
    </row>
    <row r="172">
      <c r="A172" s="36" t="n">
        <v>150</v>
      </c>
      <c r="B172" s="36" t="inlineStr">
        <is>
          <t>Surgical Full Gown (Disposable)</t>
        </is>
      </c>
      <c r="C172" s="36" t="inlineStr">
        <is>
          <t>Surgical Consumable</t>
        </is>
      </c>
      <c r="D172" s="36" t="n">
        <v>470</v>
      </c>
      <c r="E172" s="36" t="n">
        <v>261.25</v>
      </c>
      <c r="F172" s="83">
        <f>(D172-E172)/D172</f>
        <v/>
      </c>
      <c r="G172" s="36" t="inlineStr">
        <is>
          <t>Stock OT: STERILE DISPOSABLE GOWN</t>
        </is>
      </c>
    </row>
    <row r="173">
      <c r="A173" s="36" t="n">
        <v>151</v>
      </c>
      <c r="B173" s="36" t="inlineStr">
        <is>
          <t>Absorbent Cotton Roll (AB Cotton)</t>
        </is>
      </c>
      <c r="C173" s="36" t="inlineStr">
        <is>
          <t>Surgical Consumable</t>
        </is>
      </c>
      <c r="D173" s="36" t="inlineStr">
        <is>
          <t>⚠ FILL</t>
        </is>
      </c>
      <c r="E173" s="36" t="n">
        <v>31.5</v>
      </c>
      <c r="F173" s="36" t="inlineStr">
        <is>
          <t>—</t>
        </is>
      </c>
      <c r="G173" s="36" t="inlineStr">
        <is>
          <t>CLD Surgical #355 AB COTTON 10</t>
        </is>
      </c>
    </row>
    <row r="174">
      <c r="A174" s="36" t="n">
        <v>152</v>
      </c>
      <c r="B174" s="36" t="inlineStr">
        <is>
          <t>Plastic Apron (Disposable)</t>
        </is>
      </c>
      <c r="C174" s="36" t="inlineStr">
        <is>
          <t>Surgical Consumable</t>
        </is>
      </c>
      <c r="D174" s="36" t="inlineStr">
        <is>
          <t>⚠ FILL</t>
        </is>
      </c>
      <c r="E174" s="36" t="n">
        <v>186.5</v>
      </c>
      <c r="F174" s="83">
        <f>(D174-E174)/D174</f>
        <v/>
      </c>
      <c r="G174" s="36" t="inlineStr">
        <is>
          <t>CLD Surgical #355 PLASTIC APRO AP02</t>
        </is>
      </c>
    </row>
    <row r="175">
      <c r="A175" s="36" t="n">
        <v>153</v>
      </c>
      <c r="B175" s="36" t="inlineStr">
        <is>
          <t>LNW 4259 (Suture / Instrument)</t>
        </is>
      </c>
      <c r="C175" s="36" t="inlineStr">
        <is>
          <t>Surgical Consumable</t>
        </is>
      </c>
      <c r="D175" s="36" t="inlineStr">
        <is>
          <t>⚠ FILL</t>
        </is>
      </c>
      <c r="E175" s="36" t="n">
        <v>1363.44</v>
      </c>
      <c r="F175" s="36" t="inlineStr">
        <is>
          <t>—</t>
        </is>
      </c>
      <c r="G175" s="36" t="inlineStr">
        <is>
          <t>CLD Surgical #355 LNW 4259</t>
        </is>
      </c>
    </row>
    <row r="176">
      <c r="A176" s="36" t="n">
        <v>154</v>
      </c>
      <c r="B176" s="36" t="inlineStr">
        <is>
          <t>Gauze Dressing 5cm (G Dress-5)</t>
        </is>
      </c>
      <c r="C176" s="36" t="inlineStr">
        <is>
          <t>Surgical Consumable</t>
        </is>
      </c>
      <c r="D176" s="36" t="inlineStr">
        <is>
          <t>⚠ FILL</t>
        </is>
      </c>
      <c r="E176" s="36" t="n">
        <v>9.5</v>
      </c>
      <c r="F176" s="36" t="inlineStr">
        <is>
          <t>—</t>
        </is>
      </c>
      <c r="G176" s="36" t="inlineStr">
        <is>
          <t>CLD Surgical #355 G DRESS-5</t>
        </is>
      </c>
    </row>
    <row r="177">
      <c r="A177" s="36" t="n">
        <v>155</v>
      </c>
      <c r="B177" s="36" t="inlineStr">
        <is>
          <t>Gauze Dressing 10cm (G Dress-10)</t>
        </is>
      </c>
      <c r="C177" s="36" t="inlineStr">
        <is>
          <t>Surgical Consumable</t>
        </is>
      </c>
      <c r="D177" s="36" t="inlineStr">
        <is>
          <t>⚠ FILL</t>
        </is>
      </c>
      <c r="E177" s="36" t="n">
        <v>16.06</v>
      </c>
      <c r="F177" s="36" t="inlineStr">
        <is>
          <t>—</t>
        </is>
      </c>
      <c r="G177" s="36" t="inlineStr">
        <is>
          <t>CLD Surgical #355 G DRESS-10</t>
        </is>
      </c>
    </row>
    <row r="178">
      <c r="A178" s="36" t="n">
        <v>156</v>
      </c>
      <c r="B178" s="36" t="inlineStr">
        <is>
          <t>Distilled Water (per piece)</t>
        </is>
      </c>
      <c r="C178" s="36" t="inlineStr">
        <is>
          <t>Consumable</t>
        </is>
      </c>
      <c r="D178" s="36" t="n">
        <v>3.12</v>
      </c>
      <c r="E178" s="36" t="n">
        <v>2.15</v>
      </c>
      <c r="F178" s="36" t="inlineStr">
        <is>
          <t>31.1%</t>
        </is>
      </c>
      <c r="G178" s="36" t="inlineStr">
        <is>
          <t>Stock OT: D. WATER per piece</t>
        </is>
      </c>
    </row>
    <row r="179">
      <c r="A179" s="36" t="n">
        <v>157</v>
      </c>
      <c r="B179" s="36" t="inlineStr">
        <is>
          <t>OT Mop SARA (Abd Mop / Swab)</t>
        </is>
      </c>
      <c r="C179" s="36" t="inlineStr">
        <is>
          <t>Surgical Consumable</t>
        </is>
      </c>
      <c r="D179" s="36" t="inlineStr">
        <is>
          <t>⚠ FILL</t>
        </is>
      </c>
      <c r="E179" s="36" t="n">
        <v>40.15</v>
      </c>
      <c r="F179" s="36" t="inlineStr">
        <is>
          <t>—</t>
        </is>
      </c>
      <c r="G179" s="36" t="inlineStr">
        <is>
          <t>CLD Surgical #349 MOP (SARA) M8045</t>
        </is>
      </c>
    </row>
    <row r="180">
      <c r="A180" s="74" t="n">
        <v>158</v>
      </c>
      <c r="B180" s="74" t="inlineStr">
        <is>
          <t>Doxyvac 100MG (Doxycycline)</t>
        </is>
      </c>
      <c r="C180" s="74" t="inlineStr">
        <is>
          <t>Injection — Antibiotic</t>
        </is>
      </c>
      <c r="D180" s="74" t="n">
        <v>527</v>
      </c>
      <c r="E180" s="74" t="n">
        <v>120</v>
      </c>
      <c r="F180" s="74">
        <f>(D180-E180)/D180</f>
        <v/>
      </c>
      <c r="G180" s="74" t="inlineStr">
        <is>
          <t>M.R. Pharma MR001009 / 12-Aug-26</t>
        </is>
      </c>
    </row>
    <row r="181">
      <c r="A181" s="75" t="n">
        <v>159</v>
      </c>
      <c r="B181" s="75" t="inlineStr">
        <is>
          <t>Alburel IV 20% 100ML (Human Albumin)</t>
        </is>
      </c>
      <c r="C181" s="75" t="inlineStr">
        <is>
          <t>Injection — IV</t>
        </is>
      </c>
      <c r="D181" s="75" t="n">
        <v>10724</v>
      </c>
      <c r="E181" s="75" t="n">
        <v>4650</v>
      </c>
      <c r="F181" s="75">
        <f>(D181-E181)/D181</f>
        <v/>
      </c>
      <c r="G181" s="75" t="inlineStr">
        <is>
          <t>M.R. Pharma MR001009 / 12-Aug-26</t>
        </is>
      </c>
    </row>
    <row r="182">
      <c r="A182" s="74" t="n">
        <v>160</v>
      </c>
      <c r="B182" s="74" t="inlineStr">
        <is>
          <t>Neomol 400ML IV Bag (Paracetamol)</t>
        </is>
      </c>
      <c r="C182" s="74" t="inlineStr">
        <is>
          <t>Injection — Analgesic</t>
        </is>
      </c>
      <c r="D182" s="74" t="n">
        <v>591.5</v>
      </c>
      <c r="E182" s="74" t="n">
        <v>35</v>
      </c>
      <c r="F182" s="74">
        <f>(D182-E182)/D182</f>
        <v/>
      </c>
      <c r="G182" s="74" t="inlineStr">
        <is>
          <t>M.R. Pharma MR000994 / 10-Aug-26</t>
        </is>
      </c>
    </row>
    <row r="183">
      <c r="A183" s="74" t="n">
        <v>161</v>
      </c>
      <c r="B183" s="74" t="inlineStr">
        <is>
          <t>Centro Trio (Drainage Device)</t>
        </is>
      </c>
      <c r="C183" s="74" t="inlineStr">
        <is>
          <t>Surgical Device</t>
        </is>
      </c>
      <c r="D183" s="74" t="n">
        <v>3255</v>
      </c>
      <c r="E183" s="74" t="n">
        <v>782</v>
      </c>
      <c r="F183" s="74">
        <f>(D183-E183)/D183</f>
        <v/>
      </c>
      <c r="G183" s="74" t="inlineStr">
        <is>
          <t>B.P. Pharma #485 / 12-Aug-26</t>
        </is>
      </c>
    </row>
    <row r="184">
      <c r="A184" s="74" t="n">
        <v>162</v>
      </c>
      <c r="B184" s="74" t="inlineStr">
        <is>
          <t>Urometer (Urine Output Measuring)</t>
        </is>
      </c>
      <c r="C184" s="74" t="inlineStr">
        <is>
          <t>Surgical Device</t>
        </is>
      </c>
      <c r="D184" s="74" t="n">
        <v>629</v>
      </c>
      <c r="E184" s="74" t="n">
        <v>97.5</v>
      </c>
      <c r="F184" s="74">
        <f>(D184-E184)/D184</f>
        <v/>
      </c>
      <c r="G184" s="74" t="inlineStr">
        <is>
          <t>B.P. Pharma #485 / 12-Aug-26</t>
        </is>
      </c>
    </row>
    <row r="185">
      <c r="A185" s="74" t="n">
        <v>163</v>
      </c>
      <c r="B185" s="74" t="inlineStr">
        <is>
          <t>Molysheet (NARASHA OT Sheet)</t>
        </is>
      </c>
      <c r="C185" s="74" t="inlineStr">
        <is>
          <t>Surgical Consumable</t>
        </is>
      </c>
      <c r="D185" s="74" t="n">
        <v>155</v>
      </c>
      <c r="E185" s="74" t="n">
        <v>13.5</v>
      </c>
      <c r="F185" s="74">
        <f>(D185-E185)/D185</f>
        <v/>
      </c>
      <c r="G185" s="74" t="inlineStr">
        <is>
          <t>B.P. Pharma #467 / 08-Aug-26</t>
        </is>
      </c>
    </row>
    <row r="186">
      <c r="A186" s="74" t="n">
        <v>164</v>
      </c>
      <c r="B186" s="74" t="inlineStr">
        <is>
          <t>Jelonet Tin (Paraffin Gauze — Tin)</t>
        </is>
      </c>
      <c r="C186" s="74" t="inlineStr">
        <is>
          <t>Surgical Consumable</t>
        </is>
      </c>
      <c r="D186" s="74" t="n">
        <v>200.3</v>
      </c>
      <c r="E186" s="74" t="n">
        <v>145</v>
      </c>
      <c r="F186" s="74">
        <f>(D186-E186)/D186</f>
        <v/>
      </c>
      <c r="G186" s="74" t="inlineStr">
        <is>
          <t>B.P. Pharma #467 / 08-Aug-26</t>
        </is>
      </c>
    </row>
    <row r="187">
      <c r="A187" s="74" t="n">
        <v>165</v>
      </c>
      <c r="B187" s="74" t="inlineStr">
        <is>
          <t>Klotin 5ML INJ (Clonazepam)</t>
        </is>
      </c>
      <c r="C187" s="74" t="inlineStr">
        <is>
          <t>Injection — Neuro/Sedative</t>
        </is>
      </c>
      <c r="D187" s="74" t="n">
        <v>73.09999999999999</v>
      </c>
      <c r="E187" s="74" t="n">
        <v>30</v>
      </c>
      <c r="F187" s="74">
        <f>(D187-E187)/D187</f>
        <v/>
      </c>
      <c r="G187" s="74" t="inlineStr">
        <is>
          <t>M.R. Pharma MR000969 / 07-Aug-26</t>
        </is>
      </c>
    </row>
    <row r="188">
      <c r="A188" s="74" t="n">
        <v>166</v>
      </c>
      <c r="B188" s="74" t="inlineStr">
        <is>
          <t>Hydrogen Peroxide Solution 45</t>
        </is>
      </c>
      <c r="C188" s="74" t="inlineStr">
        <is>
          <t>Antiseptic/Disinfectant</t>
        </is>
      </c>
      <c r="D188" s="74" t="n">
        <v>83</v>
      </c>
      <c r="E188" s="74" t="n">
        <v>38.5</v>
      </c>
      <c r="F188" s="76">
        <f>(D188-E188)/D188</f>
        <v/>
      </c>
      <c r="G188" s="74" t="inlineStr">
        <is>
          <t>B.P. Pharma #493 / 17-Aug-26</t>
        </is>
      </c>
    </row>
    <row r="189">
      <c r="A189" s="74" t="n">
        <v>167</v>
      </c>
      <c r="B189" s="74" t="inlineStr">
        <is>
          <t>Cloth Drape CD01</t>
        </is>
      </c>
      <c r="C189" s="74" t="inlineStr">
        <is>
          <t>OT Consumable — Drape</t>
        </is>
      </c>
      <c r="D189" s="74" t="n">
        <v>62</v>
      </c>
      <c r="E189" s="74" t="n">
        <v>43.33</v>
      </c>
      <c r="F189" s="76">
        <f>(D189-E189)/D189</f>
        <v/>
      </c>
      <c r="G189" s="74" t="inlineStr">
        <is>
          <t>B.P. Pharma #493 / 17-Aug-26</t>
        </is>
      </c>
    </row>
    <row r="190">
      <c r="A190" s="74" t="n">
        <v>168</v>
      </c>
      <c r="B190" s="74" t="inlineStr">
        <is>
          <t>OT X-Ray Gauze</t>
        </is>
      </c>
      <c r="C190" s="74" t="inlineStr">
        <is>
          <t>OT Consumable — Gauze</t>
        </is>
      </c>
      <c r="D190" s="74" t="n">
        <v>51.56</v>
      </c>
      <c r="E190" s="74" t="n">
        <v>24.55</v>
      </c>
      <c r="F190" s="76">
        <f>(D190-E190)/D190</f>
        <v/>
      </c>
      <c r="G190" s="74" t="inlineStr">
        <is>
          <t>B.P. Pharma #493 / 17-Aug-26</t>
        </is>
      </c>
    </row>
    <row r="191">
      <c r="A191" s="74" t="n">
        <v>169</v>
      </c>
      <c r="B191" s="74" t="inlineStr">
        <is>
          <t>Diathermy Pencil (RM)</t>
        </is>
      </c>
      <c r="C191" s="74" t="inlineStr">
        <is>
          <t>OT Equipment — Diathermy</t>
        </is>
      </c>
      <c r="D191" s="74" t="n">
        <v>917</v>
      </c>
      <c r="E191" s="74" t="n">
        <v>121.12</v>
      </c>
      <c r="F191" s="76">
        <f>(D191-E191)/D191</f>
        <v/>
      </c>
      <c r="G191" s="74" t="inlineStr">
        <is>
          <t>B.P. Pharma #511 / 19-Aug-26</t>
        </is>
      </c>
    </row>
    <row r="192">
      <c r="A192" s="74" t="n">
        <v>170</v>
      </c>
      <c r="B192" s="74" t="inlineStr">
        <is>
          <t>Vaccu Suction Set (A)</t>
        </is>
      </c>
      <c r="C192" s="74" t="inlineStr">
        <is>
          <t>OT Consumable — Suction</t>
        </is>
      </c>
      <c r="D192" s="74" t="n">
        <v>609</v>
      </c>
      <c r="E192" s="74" t="n">
        <v>64</v>
      </c>
      <c r="F192" s="76">
        <f>(D192-E192)/D192</f>
        <v/>
      </c>
      <c r="G192" s="74" t="inlineStr">
        <is>
          <t>B.P. Pharma #511 / 19-Aug-26</t>
        </is>
      </c>
    </row>
    <row r="193">
      <c r="A193" s="74" t="n">
        <v>171</v>
      </c>
      <c r="B193" s="74" t="inlineStr">
        <is>
          <t>Foley's Catheter 3-Way 18Fr</t>
        </is>
      </c>
      <c r="C193" s="74" t="inlineStr">
        <is>
          <t>Urological Consumable</t>
        </is>
      </c>
      <c r="D193" s="74" t="n">
        <v>460</v>
      </c>
      <c r="E193" s="74" t="n">
        <v>353.75</v>
      </c>
      <c r="F193" s="76">
        <f>(D193-E193)/D193</f>
        <v/>
      </c>
      <c r="G193" s="74" t="inlineStr">
        <is>
          <t>B.P. Pharma #511 / 19-Aug-26</t>
        </is>
      </c>
    </row>
    <row r="194">
      <c r="A194" s="74" t="n">
        <v>172</v>
      </c>
      <c r="B194" s="74" t="inlineStr">
        <is>
          <t>Foley's Catheter 3-Way 24Fr</t>
        </is>
      </c>
      <c r="C194" s="74" t="inlineStr">
        <is>
          <t>Urological Consumable</t>
        </is>
      </c>
      <c r="D194" s="74" t="n">
        <v>448</v>
      </c>
      <c r="E194" s="74" t="n">
        <v>353.75</v>
      </c>
      <c r="F194" s="76">
        <f>(D194-E194)/D194</f>
        <v/>
      </c>
      <c r="G194" s="74" t="inlineStr">
        <is>
          <t>B.P. Pharma #511 / 19-Aug-26</t>
        </is>
      </c>
    </row>
    <row r="195">
      <c r="A195" s="74" t="n">
        <v>173</v>
      </c>
      <c r="B195" s="74" t="inlineStr">
        <is>
          <t>Foley's Catheter 2-Way 20Fr</t>
        </is>
      </c>
      <c r="C195" s="74" t="inlineStr">
        <is>
          <t>Urological Consumable</t>
        </is>
      </c>
      <c r="D195" s="74" t="n">
        <v>174</v>
      </c>
      <c r="E195" s="74" t="n">
        <v>131.45</v>
      </c>
      <c r="F195" s="76">
        <f>(D195-E195)/D195</f>
        <v/>
      </c>
      <c r="G195" s="74" t="inlineStr">
        <is>
          <t>B.P. Pharma #511 / 19-Aug-26</t>
        </is>
      </c>
    </row>
    <row r="196">
      <c r="A196" s="74" t="n">
        <v>174</v>
      </c>
      <c r="B196" s="74" t="inlineStr">
        <is>
          <t>Foley's Catheter 2-Way 22Fr</t>
        </is>
      </c>
      <c r="C196" s="74" t="inlineStr">
        <is>
          <t>Urological Consumable</t>
        </is>
      </c>
      <c r="D196" s="74" t="n">
        <v>163.13</v>
      </c>
      <c r="E196" s="74" t="n">
        <v>131.45</v>
      </c>
      <c r="F196" s="76">
        <f>(D196-E196)/D196</f>
        <v/>
      </c>
      <c r="G196" s="74" t="inlineStr">
        <is>
          <t>B.P. Pharma #511 / 19-Aug-26</t>
        </is>
      </c>
    </row>
    <row r="197">
      <c r="A197" s="74" t="n">
        <v>175</v>
      </c>
      <c r="B197" s="74" t="inlineStr">
        <is>
          <t>Adult Diaper (Large) RAM</t>
        </is>
      </c>
      <c r="C197" s="74" t="inlineStr">
        <is>
          <t>Ward Consumable</t>
        </is>
      </c>
      <c r="D197" s="74" t="n">
        <v>120</v>
      </c>
      <c r="E197" s="74" t="n">
        <v>25</v>
      </c>
      <c r="F197" s="76">
        <f>(D197-E197)/D197</f>
        <v/>
      </c>
      <c r="G197" s="74" t="inlineStr">
        <is>
          <t>B.P. Pharma #513 / 20-Aug-26</t>
        </is>
      </c>
    </row>
    <row r="198">
      <c r="A198" s="74" t="n">
        <v>176</v>
      </c>
      <c r="B198" s="74" t="inlineStr">
        <is>
          <t>Betadine Scrub 500ML</t>
        </is>
      </c>
      <c r="C198" s="74" t="inlineStr">
        <is>
          <t>Antiseptic/Disinfectant</t>
        </is>
      </c>
      <c r="D198" s="74" t="n">
        <v>1071</v>
      </c>
      <c r="E198" s="74" t="n">
        <v>928</v>
      </c>
      <c r="F198" s="76">
        <f>(D198-E198)/D198</f>
        <v/>
      </c>
      <c r="G198" s="74" t="inlineStr">
        <is>
          <t>B.P. Pharma #526 / 24-Aug-26</t>
        </is>
      </c>
    </row>
    <row r="199">
      <c r="A199" s="74" t="n">
        <v>177</v>
      </c>
      <c r="B199" s="74" t="inlineStr">
        <is>
          <t>E Coli Cath L4</t>
        </is>
      </c>
      <c r="C199" s="74" t="inlineStr">
        <is>
          <t>Urological Consumable</t>
        </is>
      </c>
      <c r="D199" s="74" t="n">
        <v>120</v>
      </c>
      <c r="E199" s="74" t="n">
        <v>16.6</v>
      </c>
      <c r="F199" s="76">
        <f>(D199-E199)/D199</f>
        <v/>
      </c>
      <c r="G199" s="74" t="inlineStr">
        <is>
          <t>B.P. Pharma #531 / 25-Aug-26</t>
        </is>
      </c>
    </row>
    <row r="200">
      <c r="A200" s="74" t="n">
        <v>178</v>
      </c>
      <c r="B200" s="74" t="inlineStr">
        <is>
          <t>Face Mask 3PLY (ASPAI)</t>
        </is>
      </c>
      <c r="C200" s="74" t="inlineStr">
        <is>
          <t>PPE / Protective</t>
        </is>
      </c>
      <c r="D200" s="74" t="n">
        <v>1500</v>
      </c>
      <c r="E200" s="74" t="n">
        <v>140</v>
      </c>
      <c r="F200" s="76">
        <f>(D200-E200)/D200</f>
        <v/>
      </c>
      <c r="G200" s="74" t="inlineStr">
        <is>
          <t>B.P. Pharma #545 / 29-Aug-26</t>
        </is>
      </c>
    </row>
    <row r="201">
      <c r="A201" s="74" t="n">
        <v>179</v>
      </c>
      <c r="B201" s="74" t="inlineStr">
        <is>
          <t>Moncef 1GM INJ (Cefoperazone)</t>
        </is>
      </c>
      <c r="C201" s="74" t="inlineStr">
        <is>
          <t>Injection — Antibiotic</t>
        </is>
      </c>
      <c r="D201" s="74" t="n">
        <v>67.05</v>
      </c>
      <c r="E201" s="74" t="n">
        <v>27.71</v>
      </c>
      <c r="F201" s="76">
        <f>(D201-E201)/D201</f>
        <v/>
      </c>
      <c r="G201" s="74" t="inlineStr">
        <is>
          <t>M.R. Pharma MR001168 / 31-Aug-26</t>
        </is>
      </c>
    </row>
    <row r="202">
      <c r="A202" s="74" t="n">
        <v>180</v>
      </c>
      <c r="B202" s="74" t="inlineStr">
        <is>
          <t>Vanking 500MG INJ (Vancomycin)</t>
        </is>
      </c>
      <c r="C202" s="74" t="inlineStr">
        <is>
          <t>Injection — Antibiotic</t>
        </is>
      </c>
      <c r="D202" s="74" t="n">
        <v>539</v>
      </c>
      <c r="E202" s="74" t="n">
        <v>76.40000000000001</v>
      </c>
      <c r="F202" s="76">
        <f>(D202-E202)/D202</f>
        <v/>
      </c>
      <c r="G202" s="74" t="inlineStr">
        <is>
          <t>M.R. Pharma MR001168 / 31-Aug-26</t>
        </is>
      </c>
    </row>
    <row r="203">
      <c r="A203" s="74" t="n">
        <v>181</v>
      </c>
      <c r="B203" s="74" t="inlineStr">
        <is>
          <t>Artacil 50MG INJ</t>
        </is>
      </c>
      <c r="C203" s="74" t="inlineStr">
        <is>
          <t>Injection — Antibiotic</t>
        </is>
      </c>
      <c r="D203" s="74" t="n">
        <v>90.59999999999999</v>
      </c>
      <c r="E203" s="74" t="n">
        <v>55</v>
      </c>
      <c r="F203" s="76">
        <f>(D203-E203)/D203</f>
        <v/>
      </c>
      <c r="G203" s="74" t="inlineStr">
        <is>
          <t>M.R. Pharma MR001168 / 31-Aug-26</t>
        </is>
      </c>
    </row>
    <row r="204">
      <c r="A204" s="74" t="n">
        <v>182</v>
      </c>
      <c r="B204" s="74" t="inlineStr">
        <is>
          <t>Neovec 10MG Vial</t>
        </is>
      </c>
      <c r="C204" s="74" t="inlineStr">
        <is>
          <t>Injection — Antiemetic</t>
        </is>
      </c>
      <c r="D204" s="74" t="n">
        <v>125.65</v>
      </c>
      <c r="E204" s="74" t="n">
        <v>87</v>
      </c>
      <c r="F204" s="76">
        <f>(D204-E204)/D204</f>
        <v/>
      </c>
      <c r="G204" s="74" t="inlineStr">
        <is>
          <t>M.R. Pharma MR001168 / 31-Aug-26</t>
        </is>
      </c>
    </row>
    <row r="205">
      <c r="A205" s="74" t="n">
        <v>183</v>
      </c>
      <c r="B205" s="74" t="inlineStr">
        <is>
          <t>Neovec 4MG INJ</t>
        </is>
      </c>
      <c r="C205" s="74" t="inlineStr">
        <is>
          <t>Injection — Antiemetic</t>
        </is>
      </c>
      <c r="D205" s="74" t="n">
        <v>78</v>
      </c>
      <c r="E205" s="74" t="n">
        <v>44</v>
      </c>
      <c r="F205" s="76">
        <f>(D205-E205)/D205</f>
        <v/>
      </c>
      <c r="G205" s="74" t="inlineStr">
        <is>
          <t>M.R. Pharma MR001168 / 31-Aug-26</t>
        </is>
      </c>
    </row>
    <row r="206">
      <c r="A206" s="74" t="n">
        <v>184</v>
      </c>
      <c r="B206" s="74" t="inlineStr">
        <is>
          <t>Teicobiotic-400 INJ (Teicoplanin)</t>
        </is>
      </c>
      <c r="C206" s="74" t="inlineStr">
        <is>
          <t>Injection — Antibiotic</t>
        </is>
      </c>
      <c r="D206" s="74" t="n">
        <v>3341</v>
      </c>
      <c r="E206" s="74" t="n">
        <v>488</v>
      </c>
      <c r="F206" s="76">
        <f>(D206-E206)/D206</f>
        <v/>
      </c>
      <c r="G206" s="74" t="inlineStr">
        <is>
          <t>M.R. Pharma MR001168 / 31-Aug-26</t>
        </is>
      </c>
    </row>
    <row r="207">
      <c r="A207" s="74" t="n">
        <v>185</v>
      </c>
      <c r="B207" s="74" t="inlineStr">
        <is>
          <t>Ugaxis-F Tab 1x10</t>
        </is>
      </c>
      <c r="C207" s="74" t="inlineStr">
        <is>
          <t>Tablet — Urology</t>
        </is>
      </c>
      <c r="D207" s="74" t="n">
        <v>450</v>
      </c>
      <c r="E207" s="74" t="n">
        <v>308.57</v>
      </c>
      <c r="F207" s="76">
        <f>(D207-E207)/D207</f>
        <v/>
      </c>
      <c r="G207" s="74" t="inlineStr">
        <is>
          <t>Chirag Enterprises MP-38 / 29-Aug-26</t>
        </is>
      </c>
    </row>
    <row r="208">
      <c r="A208" s="74" t="n">
        <v>186</v>
      </c>
      <c r="B208" s="74" t="inlineStr">
        <is>
          <t>Nefsafe Tab 1x10</t>
        </is>
      </c>
      <c r="C208" s="74" t="inlineStr">
        <is>
          <t>Tablet — Antibiotic</t>
        </is>
      </c>
      <c r="D208" s="74" t="n">
        <v>180</v>
      </c>
      <c r="E208" s="74" t="n">
        <v>123.43</v>
      </c>
      <c r="F208" s="76">
        <f>(D208-E208)/D208</f>
        <v/>
      </c>
      <c r="G208" s="74" t="inlineStr">
        <is>
          <t>Chirag Enterprises MP-38 / 29-Aug-26</t>
        </is>
      </c>
    </row>
    <row r="209">
      <c r="A209" s="74" t="n">
        <v>187</v>
      </c>
      <c r="B209" s="74" t="inlineStr">
        <is>
          <t>KB5 Syrup 200ML</t>
        </is>
      </c>
      <c r="C209" s="74" t="inlineStr">
        <is>
          <t>Syrup</t>
        </is>
      </c>
      <c r="D209" s="74" t="n">
        <v>242</v>
      </c>
      <c r="E209" s="74" t="n">
        <v>165.94</v>
      </c>
      <c r="F209" s="76">
        <f>(D209-E209)/D209</f>
        <v/>
      </c>
      <c r="G209" s="74" t="inlineStr">
        <is>
          <t>Chirag Enterprises MP-38 / 29-Aug-26</t>
        </is>
      </c>
    </row>
    <row r="210">
      <c r="A210" s="74" t="n">
        <v>188</v>
      </c>
      <c r="B210" s="74" t="inlineStr">
        <is>
          <t>Siluts 8ME Tab 1x10</t>
        </is>
      </c>
      <c r="C210" s="74" t="inlineStr">
        <is>
          <t>Tablet</t>
        </is>
      </c>
      <c r="D210" s="74" t="n">
        <v>315</v>
      </c>
      <c r="E210" s="74" t="n">
        <v>216</v>
      </c>
      <c r="F210" s="76">
        <f>(D210-E210)/D210</f>
        <v/>
      </c>
      <c r="G210" s="74" t="inlineStr">
        <is>
          <t>Chirag Enterprises MP-38 / 29-Aug-26</t>
        </is>
      </c>
    </row>
    <row r="211">
      <c r="A211" s="74" t="n">
        <v>189</v>
      </c>
      <c r="B211" s="74" t="inlineStr">
        <is>
          <t>SS Tube-16 (Suction Tube)</t>
        </is>
      </c>
      <c r="C211" s="74" t="inlineStr">
        <is>
          <t>OT Consumable — Suction</t>
        </is>
      </c>
      <c r="D211" s="74" t="n">
        <v>79.58</v>
      </c>
      <c r="E211" s="74" t="n">
        <v>18.5</v>
      </c>
      <c r="F211" s="76">
        <f>(D211-E211)/D211</f>
        <v/>
      </c>
      <c r="G211" s="74" t="inlineStr">
        <is>
          <t>B.P. Pharma #548 / 31-Aug-26</t>
        </is>
      </c>
    </row>
    <row r="212">
      <c r="A212" s="74" t="n">
        <v>190</v>
      </c>
      <c r="B212" s="74" t="inlineStr">
        <is>
          <t>Surgicare-6.0 Suture</t>
        </is>
      </c>
      <c r="C212" s="74" t="inlineStr">
        <is>
          <t>Suture</t>
        </is>
      </c>
      <c r="D212" s="74" t="n">
        <v>91</v>
      </c>
      <c r="E212" s="74" t="n">
        <v>21.5</v>
      </c>
      <c r="F212" s="76">
        <f>(D212-E212)/D212</f>
        <v/>
      </c>
      <c r="G212" s="74" t="inlineStr">
        <is>
          <t>B.P. Pharma #548 / 31-Aug-26</t>
        </is>
      </c>
    </row>
    <row r="213">
      <c r="A213" s="74" t="n">
        <v>191</v>
      </c>
      <c r="B213" s="74" t="inlineStr">
        <is>
          <t>Genellium Pro (Large)</t>
        </is>
      </c>
      <c r="C213" s="74" t="inlineStr">
        <is>
          <t>OT Consumable — Haemostat</t>
        </is>
      </c>
      <c r="D213" s="74" t="n">
        <v>3200</v>
      </c>
      <c r="E213" s="74" t="n">
        <v>2250</v>
      </c>
      <c r="F213" s="76">
        <f>(D213-E213)/D213</f>
        <v/>
      </c>
      <c r="G213" s="74" t="inlineStr">
        <is>
          <t>B.P. Pharma #548 / 31-Aug-26</t>
        </is>
      </c>
    </row>
    <row r="214">
      <c r="A214" s="74" t="n">
        <v>192</v>
      </c>
      <c r="B214" s="74" t="inlineStr">
        <is>
          <t>Adult Diaper 10s (Disposable)</t>
        </is>
      </c>
      <c r="C214" s="74" t="inlineStr">
        <is>
          <t>Ward Consumable</t>
        </is>
      </c>
      <c r="D214" s="74" t="n">
        <v>145</v>
      </c>
      <c r="E214" s="74" t="n">
        <v>22</v>
      </c>
      <c r="F214" s="76">
        <f>(D214-E214)/D214</f>
        <v/>
      </c>
      <c r="G214" s="74" t="inlineStr">
        <is>
          <t>B.P. Pharma #513 / 20-Aug-26</t>
        </is>
      </c>
    </row>
    <row r="215">
      <c r="A215" s="74" t="n">
        <v>193</v>
      </c>
      <c r="B215" s="74" t="inlineStr">
        <is>
          <t>Surgicare 7.0 Suture</t>
        </is>
      </c>
      <c r="C215" s="74" t="inlineStr">
        <is>
          <t>Suture</t>
        </is>
      </c>
      <c r="D215" s="74" t="n">
        <v>91</v>
      </c>
      <c r="E215" s="74" t="n">
        <v>21.5</v>
      </c>
      <c r="F215" s="76">
        <f>(D215-E215)/D215</f>
        <v/>
      </c>
      <c r="G215" s="74" t="inlineStr">
        <is>
          <t>B.P. Pharma #511 &amp; #513 / Aug-26</t>
        </is>
      </c>
    </row>
    <row r="216">
      <c r="A216" s="72" t="inlineStr">
        <is>
          <t>🔴 ITEMS MISSING MRP — Collect from vendor and update above</t>
        </is>
      </c>
      <c r="B216" s="42" t="n"/>
      <c r="C216" s="42" t="n"/>
      <c r="D216" s="42" t="n"/>
      <c r="E216" s="42" t="n"/>
      <c r="F216" s="42" t="n"/>
      <c r="G216" s="42" t="n"/>
    </row>
  </sheetData>
  <mergeCells count="21">
    <mergeCell ref="A116:G116"/>
    <mergeCell ref="A122:G122"/>
    <mergeCell ref="A109:G109"/>
    <mergeCell ref="A4:G4"/>
    <mergeCell ref="A52:G52"/>
    <mergeCell ref="A43:G43"/>
    <mergeCell ref="A28:G28"/>
    <mergeCell ref="A111:G111"/>
    <mergeCell ref="A58:G58"/>
    <mergeCell ref="A60:G60"/>
    <mergeCell ref="A11:G11"/>
    <mergeCell ref="A45:G45"/>
    <mergeCell ref="A36:G36"/>
    <mergeCell ref="A1:G1"/>
    <mergeCell ref="A54:G54"/>
    <mergeCell ref="A41:G41"/>
    <mergeCell ref="A80:G80"/>
    <mergeCell ref="A56:G56"/>
    <mergeCell ref="A21:G21"/>
    <mergeCell ref="A50:G50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2026-06-24T10:07:13Z</dcterms:created>
  <dcterms:modified xsi:type="dcterms:W3CDTF">2026-09-03T16:03:38Z</dcterms:modified>
  <cp:revision>0</cp:revision>
</cp:coreProperties>
</file>